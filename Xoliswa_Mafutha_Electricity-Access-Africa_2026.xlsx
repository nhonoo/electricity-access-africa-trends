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_EG.ELC.ACCS.ZS_DS2_en_csv_v" sheetId="1" r:id="rId5"/>
    <sheet state="visible" name="Africa Analysis" sheetId="2" r:id="rId6"/>
    <sheet state="visible" name="Sheet5" sheetId="3" r:id="rId7"/>
    <sheet state="visible" name="Dashboard" sheetId="4" r:id="rId8"/>
    <sheet state="visible" name="Population" sheetId="5" r:id="rId9"/>
    <sheet state="visible" name="Metadata" sheetId="6" r:id="rId10"/>
  </sheets>
  <definedNames>
    <definedName hidden="1" localSheetId="0" name="_xlnm._FilterDatabase">API_EG.ELC.ACCS.ZS_DS2_en_csv_v!$BS$5:$BS$270</definedName>
    <definedName hidden="1" localSheetId="5" name="_xlnm._FilterDatabase">Metadata!$A$1:$C$1000</definedName>
  </definedNames>
  <calcPr/>
</workbook>
</file>

<file path=xl/sharedStrings.xml><?xml version="1.0" encoding="utf-8"?>
<sst xmlns="http://schemas.openxmlformats.org/spreadsheetml/2006/main" count="2563" uniqueCount="547">
  <si>
    <t>Madagascar</t>
  </si>
  <si>
    <t>Data Source</t>
  </si>
  <si>
    <t>MDG</t>
  </si>
  <si>
    <t>World Development Indicators</t>
  </si>
  <si>
    <t>Access to electricity (% of population)</t>
  </si>
  <si>
    <t>EG.ELC.ACCS.ZS</t>
  </si>
  <si>
    <t>Sub-Saharan Africa</t>
  </si>
  <si>
    <t>Last Updated Date</t>
  </si>
  <si>
    <t>Country Name</t>
  </si>
  <si>
    <t>Country Code</t>
  </si>
  <si>
    <t>Indicator Name</t>
  </si>
  <si>
    <t>Indicator Code</t>
  </si>
  <si>
    <t>Region</t>
  </si>
  <si>
    <t>Pop without Electricity</t>
  </si>
  <si>
    <t>Aruba</t>
  </si>
  <si>
    <t>ABW</t>
  </si>
  <si>
    <t>Chad</t>
  </si>
  <si>
    <t>TCD</t>
  </si>
  <si>
    <t>Africa Eastern and Southern</t>
  </si>
  <si>
    <t>AFE</t>
  </si>
  <si>
    <t>Eritrea</t>
  </si>
  <si>
    <t>ERI</t>
  </si>
  <si>
    <t>Afghanistan</t>
  </si>
  <si>
    <t>AFG</t>
  </si>
  <si>
    <t>Mali</t>
  </si>
  <si>
    <t>MLI</t>
  </si>
  <si>
    <t>Africa Western and Central</t>
  </si>
  <si>
    <t>AFW</t>
  </si>
  <si>
    <t>South Sudan</t>
  </si>
  <si>
    <t>SSD</t>
  </si>
  <si>
    <t>Mauritius</t>
  </si>
  <si>
    <t>MUS</t>
  </si>
  <si>
    <t>Angola</t>
  </si>
  <si>
    <t>AGO</t>
  </si>
  <si>
    <t>Kenya</t>
  </si>
  <si>
    <t>KEN</t>
  </si>
  <si>
    <t>Albania</t>
  </si>
  <si>
    <t>ALB</t>
  </si>
  <si>
    <t>Tanzania</t>
  </si>
  <si>
    <t>TZA</t>
  </si>
  <si>
    <t>Andorra</t>
  </si>
  <si>
    <t>AND</t>
  </si>
  <si>
    <t>Malawi</t>
  </si>
  <si>
    <t>MWI</t>
  </si>
  <si>
    <t>Arab World</t>
  </si>
  <si>
    <t>ARB</t>
  </si>
  <si>
    <t>Gabon</t>
  </si>
  <si>
    <t>GAB</t>
  </si>
  <si>
    <t>United Arab Emirates</t>
  </si>
  <si>
    <t>ARE</t>
  </si>
  <si>
    <t>Argentina</t>
  </si>
  <si>
    <t>ARG</t>
  </si>
  <si>
    <t>Armenia</t>
  </si>
  <si>
    <t>ARM</t>
  </si>
  <si>
    <t>Mozambique</t>
  </si>
  <si>
    <t>MOZ</t>
  </si>
  <si>
    <t>American Samoa</t>
  </si>
  <si>
    <t>ASM</t>
  </si>
  <si>
    <t>Antigua and Barbuda</t>
  </si>
  <si>
    <t>ATG</t>
  </si>
  <si>
    <t>Comoros</t>
  </si>
  <si>
    <t>COM</t>
  </si>
  <si>
    <t>Australia</t>
  </si>
  <si>
    <t>AUS</t>
  </si>
  <si>
    <t>Austria</t>
  </si>
  <si>
    <t>AUT</t>
  </si>
  <si>
    <t>Burkina Faso</t>
  </si>
  <si>
    <t>BFA</t>
  </si>
  <si>
    <t>Azerbaijan</t>
  </si>
  <si>
    <t>AZE</t>
  </si>
  <si>
    <t>Burundi</t>
  </si>
  <si>
    <t>BDI</t>
  </si>
  <si>
    <t>Namibia</t>
  </si>
  <si>
    <t>NAM</t>
  </si>
  <si>
    <t>Belgium</t>
  </si>
  <si>
    <t>BEL</t>
  </si>
  <si>
    <t>Eswatini</t>
  </si>
  <si>
    <t>SWZ</t>
  </si>
  <si>
    <t>Benin</t>
  </si>
  <si>
    <t>BEN</t>
  </si>
  <si>
    <t>Central African Republic</t>
  </si>
  <si>
    <t>CAF</t>
  </si>
  <si>
    <t>Congo, Dem. Rep.</t>
  </si>
  <si>
    <t>COD</t>
  </si>
  <si>
    <t>Cabo Verde</t>
  </si>
  <si>
    <t>CPV</t>
  </si>
  <si>
    <t>Congo, Rep.</t>
  </si>
  <si>
    <t>COG</t>
  </si>
  <si>
    <t>Bangladesh</t>
  </si>
  <si>
    <t>BGD</t>
  </si>
  <si>
    <t>Senegal</t>
  </si>
  <si>
    <t>SEN</t>
  </si>
  <si>
    <t>Bulgaria</t>
  </si>
  <si>
    <t>BGR</t>
  </si>
  <si>
    <t>Liberia</t>
  </si>
  <si>
    <t>LBR</t>
  </si>
  <si>
    <t>Bahrain</t>
  </si>
  <si>
    <t>BHR</t>
  </si>
  <si>
    <t>Nigeria</t>
  </si>
  <si>
    <t>NGA</t>
  </si>
  <si>
    <t>Bahamas, The</t>
  </si>
  <si>
    <t>BHS</t>
  </si>
  <si>
    <t>Bosnia and Herzegovina</t>
  </si>
  <si>
    <t>BIH</t>
  </si>
  <si>
    <t>Cameroon</t>
  </si>
  <si>
    <t>CMR</t>
  </si>
  <si>
    <t>Belarus</t>
  </si>
  <si>
    <t>BLR</t>
  </si>
  <si>
    <t>Sao Tome and Principe</t>
  </si>
  <si>
    <t>STP</t>
  </si>
  <si>
    <t>Belize</t>
  </si>
  <si>
    <t>BLZ</t>
  </si>
  <si>
    <t>Equatorial Guinea</t>
  </si>
  <si>
    <t>GNQ</t>
  </si>
  <si>
    <t>Bermuda</t>
  </si>
  <si>
    <t>BMU</t>
  </si>
  <si>
    <t>Gambia, The</t>
  </si>
  <si>
    <t>GMB</t>
  </si>
  <si>
    <t>Bolivia</t>
  </si>
  <si>
    <t>BOL</t>
  </si>
  <si>
    <t>Seychelles</t>
  </si>
  <si>
    <t>SYC</t>
  </si>
  <si>
    <t>Brazil</t>
  </si>
  <si>
    <t>BRA</t>
  </si>
  <si>
    <t>Guinea</t>
  </si>
  <si>
    <t>GIN</t>
  </si>
  <si>
    <t>Barbados</t>
  </si>
  <si>
    <t>BRB</t>
  </si>
  <si>
    <t>Rwanda</t>
  </si>
  <si>
    <t>RWA</t>
  </si>
  <si>
    <t>Brunei Darussalam</t>
  </si>
  <si>
    <t>BRN</t>
  </si>
  <si>
    <t>Lesotho</t>
  </si>
  <si>
    <t>LSO</t>
  </si>
  <si>
    <t>Bhutan</t>
  </si>
  <si>
    <t>BTN</t>
  </si>
  <si>
    <t>Ghana</t>
  </si>
  <si>
    <t>GHA</t>
  </si>
  <si>
    <t>Botswana</t>
  </si>
  <si>
    <t>BWA</t>
  </si>
  <si>
    <t>Ethiopia</t>
  </si>
  <si>
    <t>ETH</t>
  </si>
  <si>
    <t>Cote d'Ivoire</t>
  </si>
  <si>
    <t>CIV</t>
  </si>
  <si>
    <t>Guinea-Bissau</t>
  </si>
  <si>
    <t>GNB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</si>
  <si>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</si>
  <si>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</si>
  <si>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</si>
  <si>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</si>
  <si>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</si>
  <si>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</si>
  <si>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</si>
  <si>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</si>
  <si>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</si>
  <si>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</si>
  <si>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Niger</t>
  </si>
  <si>
    <t>NER</t>
  </si>
  <si>
    <t>China</t>
  </si>
  <si>
    <t>CHN</t>
  </si>
  <si>
    <t>Sudan</t>
  </si>
  <si>
    <t>SDN</t>
  </si>
  <si>
    <t>Colombia</t>
  </si>
  <si>
    <t>COL</t>
  </si>
  <si>
    <t>Sierra Leone</t>
  </si>
  <si>
    <t>SLE</t>
  </si>
  <si>
    <t>Costa Rica</t>
  </si>
  <si>
    <t>CRI</t>
  </si>
  <si>
    <t>Caribbean small states</t>
  </si>
  <si>
    <t>CSS</t>
  </si>
  <si>
    <t>Togo</t>
  </si>
  <si>
    <t>TGO</t>
  </si>
  <si>
    <t>Cuba</t>
  </si>
  <si>
    <t>CUB</t>
  </si>
  <si>
    <t>Curacao</t>
  </si>
  <si>
    <t>CUW</t>
  </si>
  <si>
    <t>Mauritania</t>
  </si>
  <si>
    <t>MRT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</si>
  <si>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</si>
  <si>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</si>
  <si>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</si>
  <si>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</si>
  <si>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</si>
  <si>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</si>
  <si>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</si>
  <si>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</si>
  <si>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</si>
  <si>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</si>
  <si>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</si>
  <si>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</si>
  <si>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</si>
  <si>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</si>
  <si>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</si>
  <si>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</si>
  <si>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</si>
  <si>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</si>
  <si>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</si>
  <si>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</si>
  <si>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</si>
  <si>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</si>
  <si>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Somalia, Fed. Rep.</t>
  </si>
  <si>
    <t>SOM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</si>
  <si>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</si>
  <si>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</si>
  <si>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</si>
  <si>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</si>
  <si>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</si>
  <si>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</si>
  <si>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</si>
  <si>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</si>
  <si>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</si>
  <si>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</si>
  <si>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</si>
  <si>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</si>
  <si>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Spain</t>
  </si>
  <si>
    <t>ESP</t>
  </si>
  <si>
    <t>Estonia</t>
  </si>
  <si>
    <t>EST</t>
  </si>
  <si>
    <t>2023</t>
  </si>
  <si>
    <t>European Union</t>
  </si>
  <si>
    <t>EUU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</si>
  <si>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</si>
  <si>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</si>
  <si>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</si>
  <si>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</si>
  <si>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</si>
  <si>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</si>
  <si>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</si>
  <si>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</si>
  <si>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</si>
  <si>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</si>
  <si>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GBR</t>
  </si>
  <si>
    <t>GEO</t>
  </si>
  <si>
    <t>GIB</t>
  </si>
  <si>
    <t>GRC</t>
  </si>
  <si>
    <t>GRD</t>
  </si>
  <si>
    <t>GRL</t>
  </si>
  <si>
    <t>GTM</t>
  </si>
  <si>
    <t>GUM</t>
  </si>
  <si>
    <t>GUY</t>
  </si>
  <si>
    <t>HIC</t>
  </si>
  <si>
    <t>HKG</t>
  </si>
  <si>
    <t>HND</t>
  </si>
  <si>
    <t>HPC</t>
  </si>
  <si>
    <t>HRV</t>
  </si>
  <si>
    <t>HTI</t>
  </si>
  <si>
    <t>HUN</t>
  </si>
  <si>
    <t>IBD</t>
  </si>
  <si>
    <t>IBT</t>
  </si>
  <si>
    <t>IDA</t>
  </si>
  <si>
    <t>United Kingdom</t>
  </si>
  <si>
    <t>IDB</t>
  </si>
  <si>
    <t>IDN</t>
  </si>
  <si>
    <t>IDX</t>
  </si>
  <si>
    <t>IMN</t>
  </si>
  <si>
    <t>IND</t>
  </si>
  <si>
    <t>INX</t>
  </si>
  <si>
    <t>IRL</t>
  </si>
  <si>
    <t>IRN</t>
  </si>
  <si>
    <t>IRQ</t>
  </si>
  <si>
    <t>ISL</t>
  </si>
  <si>
    <t>ISR</t>
  </si>
  <si>
    <t>ITA</t>
  </si>
  <si>
    <t>JAM</t>
  </si>
  <si>
    <t>JOR</t>
  </si>
  <si>
    <t>Georgia</t>
  </si>
  <si>
    <t>JPN</t>
  </si>
  <si>
    <t>KAZ</t>
  </si>
  <si>
    <t>KGZ</t>
  </si>
  <si>
    <t>KHM</t>
  </si>
  <si>
    <t>KIR</t>
  </si>
  <si>
    <t>KNA</t>
  </si>
  <si>
    <t>KOR</t>
  </si>
  <si>
    <t>KWT</t>
  </si>
  <si>
    <t>LAC</t>
  </si>
  <si>
    <t>LAO</t>
  </si>
  <si>
    <t>LBN</t>
  </si>
  <si>
    <t>LBY</t>
  </si>
  <si>
    <t>LCA</t>
  </si>
  <si>
    <t>LCN</t>
  </si>
  <si>
    <t>LDC</t>
  </si>
  <si>
    <t>LIC</t>
  </si>
  <si>
    <t>LIE</t>
  </si>
  <si>
    <t>LKA</t>
  </si>
  <si>
    <t>LMC</t>
  </si>
  <si>
    <t>LMY</t>
  </si>
  <si>
    <t>LTE</t>
  </si>
  <si>
    <t>LTU</t>
  </si>
  <si>
    <t>LUX</t>
  </si>
  <si>
    <t>LVA</t>
  </si>
  <si>
    <t>MAC</t>
  </si>
  <si>
    <t>MAF</t>
  </si>
  <si>
    <t>MAR</t>
  </si>
  <si>
    <t>MCO</t>
  </si>
  <si>
    <t>MDA</t>
  </si>
  <si>
    <t>Gibraltar</t>
  </si>
  <si>
    <t>MDV</t>
  </si>
  <si>
    <t>MEA</t>
  </si>
  <si>
    <t>MEX</t>
  </si>
  <si>
    <t>MHL</t>
  </si>
  <si>
    <t>MIC</t>
  </si>
  <si>
    <t>MKD</t>
  </si>
  <si>
    <t>MLT</t>
  </si>
  <si>
    <t>MMR</t>
  </si>
  <si>
    <t>MNA</t>
  </si>
  <si>
    <t>MNE</t>
  </si>
  <si>
    <t>MNG</t>
  </si>
  <si>
    <t>MNP</t>
  </si>
  <si>
    <t>MYS</t>
  </si>
  <si>
    <t>NAC</t>
  </si>
  <si>
    <t>NCL</t>
  </si>
  <si>
    <t>NIC</t>
  </si>
  <si>
    <t>NLD</t>
  </si>
  <si>
    <t>NOR</t>
  </si>
  <si>
    <t>NPL</t>
  </si>
  <si>
    <t>NRU</t>
  </si>
  <si>
    <t>NZL</t>
  </si>
  <si>
    <t>OED</t>
  </si>
  <si>
    <t>OMN</t>
  </si>
  <si>
    <t>OSS</t>
  </si>
  <si>
    <t>PAK</t>
  </si>
  <si>
    <t>PAN</t>
  </si>
  <si>
    <t>PER</t>
  </si>
  <si>
    <t>PHL</t>
  </si>
  <si>
    <t>PLW</t>
  </si>
  <si>
    <t>PNG</t>
  </si>
  <si>
    <t>POL</t>
  </si>
  <si>
    <t>PRE</t>
  </si>
  <si>
    <t>PRI</t>
  </si>
  <si>
    <t>PRK</t>
  </si>
  <si>
    <t>PRT</t>
  </si>
  <si>
    <t>PRY</t>
  </si>
  <si>
    <t>PSE</t>
  </si>
  <si>
    <t>PSS</t>
  </si>
  <si>
    <t>PST</t>
  </si>
  <si>
    <t>PYF</t>
  </si>
  <si>
    <t>QAT</t>
  </si>
  <si>
    <t>ROU</t>
  </si>
  <si>
    <t>RUS</t>
  </si>
  <si>
    <t>SAS</t>
  </si>
  <si>
    <t>SAU</t>
  </si>
  <si>
    <t>SGP</t>
  </si>
  <si>
    <t>SLB</t>
  </si>
  <si>
    <t>SLV</t>
  </si>
  <si>
    <t>SMR</t>
  </si>
  <si>
    <t>SRB</t>
  </si>
  <si>
    <t>SSA</t>
  </si>
  <si>
    <t>SSF</t>
  </si>
  <si>
    <t>SST</t>
  </si>
  <si>
    <t>SUR</t>
  </si>
  <si>
    <t>SVK</t>
  </si>
  <si>
    <t>SVN</t>
  </si>
  <si>
    <t>SWE</t>
  </si>
  <si>
    <t>SXM</t>
  </si>
  <si>
    <t>SYR</t>
  </si>
  <si>
    <t>TCA</t>
  </si>
  <si>
    <t>TEA</t>
  </si>
  <si>
    <t>TEC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</si>
  <si>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</si>
  <si>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</si>
  <si>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</si>
  <si>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</si>
  <si>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</si>
  <si>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</si>
  <si>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</si>
  <si>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</si>
  <si>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</si>
  <si>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</si>
  <si>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</si>
  <si>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TUR</t>
  </si>
  <si>
    <t>TUV</t>
  </si>
  <si>
    <t>Greece</t>
  </si>
  <si>
    <t>UGA</t>
  </si>
  <si>
    <t>UKR</t>
  </si>
  <si>
    <t>UMC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</si>
  <si>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</si>
  <si>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</si>
  <si>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</si>
  <si>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</si>
  <si>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</si>
  <si>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</si>
  <si>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</si>
  <si>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</si>
  <si>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</si>
  <si>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WLD</t>
  </si>
  <si>
    <t>Grenada</t>
  </si>
  <si>
    <t>WSM</t>
  </si>
  <si>
    <t>XKX</t>
  </si>
  <si>
    <t>YEM</t>
  </si>
  <si>
    <t>ZAF</t>
  </si>
  <si>
    <t>ZMB</t>
  </si>
  <si>
    <t>ZWE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</si>
  <si>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</si>
  <si>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</si>
  <si>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</si>
  <si>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</si>
  <si>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</si>
  <si>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</si>
  <si>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</si>
  <si>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</si>
  <si>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</si>
  <si>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</si>
  <si>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</si>
  <si>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</si>
  <si>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</si>
  <si>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</si>
  <si>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</si>
  <si>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</si>
  <si>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</si>
  <si>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</si>
  <si>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</si>
  <si>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Not classified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</si>
  <si>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</si>
  <si>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</si>
  <si>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</si>
  <si>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</si>
  <si>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</si>
  <si>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</si>
  <si>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</si>
  <si>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</si>
  <si>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</si>
  <si>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</si>
  <si>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</si>
  <si>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</si>
  <si>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</si>
  <si>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</si>
  <si>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</si>
  <si>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</si>
  <si>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</si>
  <si>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</si>
  <si>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</si>
  <si>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</si>
  <si>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</si>
  <si>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</si>
  <si>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</si>
  <si>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</si>
  <si>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</si>
  <si>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IncomeGroup</t>
  </si>
  <si>
    <t>Middle East &amp; North Africa</t>
  </si>
  <si>
    <t>Lower middle income</t>
  </si>
  <si>
    <t>Upper middle income</t>
  </si>
  <si>
    <t>Sri Lanka</t>
  </si>
  <si>
    <t>South Asia</t>
  </si>
  <si>
    <t>Low &amp; middle income</t>
  </si>
  <si>
    <t>North America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</si>
  <si>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</si>
  <si>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</si>
  <si>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</si>
  <si>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</si>
  <si>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</si>
  <si>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</si>
  <si>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</si>
  <si>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</si>
  <si>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</si>
  <si>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Maldives</t>
  </si>
  <si>
    <t>Middle East, North Africa, Afghanistan &amp; Pakistan</t>
  </si>
  <si>
    <t>Mexico</t>
  </si>
  <si>
    <t>Marshall Islands</t>
  </si>
  <si>
    <t>Middle income</t>
  </si>
  <si>
    <t>North Macedonia</t>
  </si>
  <si>
    <t>Malta</t>
  </si>
  <si>
    <t>Myanmar</t>
  </si>
  <si>
    <t>Middle East, North Africa, Afghanistan &amp; Pakistan (excluding high income)</t>
  </si>
  <si>
    <t>Montenegro</t>
  </si>
  <si>
    <t>Mongolia</t>
  </si>
  <si>
    <t>Northern Mariana Islands</t>
  </si>
  <si>
    <t>Malaysia</t>
  </si>
  <si>
    <t>New Caledonia</t>
  </si>
  <si>
    <t>Nicaragua</t>
  </si>
  <si>
    <t>Netherlands</t>
  </si>
  <si>
    <t>Norway</t>
  </si>
  <si>
    <t>Nepal</t>
  </si>
  <si>
    <t>Naoero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</si>
  <si>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</si>
  <si>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</si>
  <si>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</si>
  <si>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</si>
  <si>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</si>
  <si>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</si>
  <si>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</si>
  <si>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</si>
  <si>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</si>
  <si>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</si>
  <si>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</si>
  <si>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</si>
  <si>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 (US)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</si>
  <si>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</si>
  <si>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</si>
  <si>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</si>
  <si>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</si>
  <si>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</si>
  <si>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</si>
  <si>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</si>
  <si>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</si>
  <si>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</si>
  <si>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</si>
  <si>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Saudi Arabia</t>
  </si>
  <si>
    <t>Singapore</t>
  </si>
  <si>
    <t>Solomon Islands</t>
  </si>
  <si>
    <t>El Salvador</t>
  </si>
  <si>
    <t>San Marino</t>
  </si>
  <si>
    <t>Serbia</t>
  </si>
  <si>
    <t>Sub-Saharan Africa (excluding high income)</t>
  </si>
  <si>
    <t>Small states</t>
  </si>
  <si>
    <t>Suriname</t>
  </si>
  <si>
    <t>Slovak Republic</t>
  </si>
  <si>
    <t>Slovenia</t>
  </si>
  <si>
    <t>Sweden</t>
  </si>
  <si>
    <t>Sint Maarten (Dutch part)</t>
  </si>
  <si>
    <t>Syrian Arab Republic</t>
  </si>
  <si>
    <t>Turks and Caicos Islands</t>
  </si>
  <si>
    <t>East Asia &amp; Pacific (IDA &amp; IBRD countries)</t>
  </si>
  <si>
    <t>Europe &amp; Central Asia (IDA &amp; IBRD countries)</t>
  </si>
  <si>
    <t>Thailand</t>
  </si>
  <si>
    <t>Tajikistan</t>
  </si>
  <si>
    <t>Turkmenistan</t>
  </si>
  <si>
    <t>Latin America &amp; the Caribbean (IDA &amp; IBRD countries)</t>
  </si>
  <si>
    <t>Timor-Leste</t>
  </si>
  <si>
    <t>Middle East, North Africa, Afghanistan &amp; Pakistan (IDA &amp; IBRD)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</si>
  <si>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</si>
  <si>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</si>
  <si>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</si>
  <si>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</si>
  <si>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</si>
  <si>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</si>
  <si>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</si>
  <si>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</si>
  <si>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</si>
  <si>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</si>
  <si>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</si>
  <si>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</si>
  <si>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</si>
  <si>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</si>
  <si>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</si>
  <si>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</si>
  <si>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</si>
  <si>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</si>
  <si>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</si>
  <si>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</si>
  <si>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</si>
  <si>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</si>
  <si>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</si>
  <si>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</si>
  <si>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</si>
  <si>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>Access Rate</t>
  </si>
  <si>
    <t xml:space="preserve"> </t>
  </si>
  <si>
    <t xml:space="preserve">Top 5 Highest-Need Countries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</si>
</sst>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/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2381250</xdr:colOff>
      <xdr:row>35</xdr:row>
      <xdr:rowOff>28575</xdr:rowOff>
    </xdr:from>
    <xdr:ext cx="6515100" cy="3971925"/>
    <xdr:pic>
      <xdr:nvPicPr>
        <xdr:cNvPr id="161442788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857250</xdr:colOff>
      <xdr:row>0</xdr:row>
      <xdr:rowOff>0</xdr:rowOff>
    </xdr:from>
    <xdr:ext cx="4267200" cy="2533650"/>
    <xdr:pic>
      <xdr:nvPicPr>
        <xdr:cNvPr id="175414464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4114800" cy="2533650"/>
    <xdr:pic>
      <xdr:nvPicPr>
        <xdr:cNvPr id="1736271103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  <col customWidth="1" min="3" max="3" width="22.38"/>
    <col customWidth="1" min="4" max="4" width="17.0"/>
    <col customWidth="1" min="5" max="5" width="10.75"/>
    <col customWidth="1" min="6" max="6" width="9.25"/>
    <col customWidth="1" min="7" max="8" width="9.88"/>
    <col customWidth="1" min="9" max="9" width="10.13"/>
    <col customWidth="1" min="10" max="10" width="9.88"/>
    <col customWidth="1" min="11" max="11" width="10.25"/>
    <col customWidth="1" min="12" max="13" width="10.5"/>
    <col customWidth="1" min="14" max="14" width="10.13"/>
    <col customWidth="1" min="15" max="15" width="11.0"/>
    <col customWidth="1" min="64" max="64" width="9.38"/>
    <col customWidth="1" min="66" max="66" width="8.38"/>
    <col customWidth="1" min="70" max="70" width="9.25"/>
    <col customWidth="1" min="71" max="71" width="15.63"/>
    <col customWidth="1" min="72" max="72" width="20.88"/>
  </cols>
  <sheetData>
    <row r="1">
      <c r="A1" s="2" t="s">
        <v>1</v>
      </c>
      <c r="B1" s="2" t="s">
        <v>3</v>
      </c>
    </row>
    <row r="3">
      <c r="A3" s="2" t="s">
        <v>7</v>
      </c>
      <c r="B3" s="4">
        <v>46216.0</v>
      </c>
    </row>
    <row r="5">
      <c r="A5" s="2" t="s">
        <v>8</v>
      </c>
      <c r="B5" s="2" t="s">
        <v>9</v>
      </c>
      <c r="C5" s="2" t="s">
        <v>10</v>
      </c>
      <c r="D5" s="2" t="s">
        <v>11</v>
      </c>
      <c r="E5" s="2">
        <v>1960.0</v>
      </c>
      <c r="F5" s="2">
        <v>1961.0</v>
      </c>
      <c r="G5" s="2">
        <v>1962.0</v>
      </c>
      <c r="H5" s="2">
        <v>1963.0</v>
      </c>
      <c r="I5" s="2">
        <v>1964.0</v>
      </c>
      <c r="J5" s="2">
        <v>1965.0</v>
      </c>
      <c r="K5" s="2">
        <v>1966.0</v>
      </c>
      <c r="L5" s="2">
        <v>1967.0</v>
      </c>
      <c r="M5" s="2">
        <v>1968.0</v>
      </c>
      <c r="N5" s="2">
        <v>1969.0</v>
      </c>
      <c r="O5" s="2">
        <v>1970.0</v>
      </c>
      <c r="P5" s="2">
        <v>1971.0</v>
      </c>
      <c r="Q5" s="2">
        <v>1972.0</v>
      </c>
      <c r="R5" s="2">
        <v>1973.0</v>
      </c>
      <c r="S5" s="2">
        <v>1974.0</v>
      </c>
      <c r="T5" s="2">
        <v>1975.0</v>
      </c>
      <c r="U5" s="2">
        <v>1976.0</v>
      </c>
      <c r="V5" s="2">
        <v>1977.0</v>
      </c>
      <c r="W5" s="2">
        <v>1978.0</v>
      </c>
      <c r="X5" s="2">
        <v>1979.0</v>
      </c>
      <c r="Y5" s="2">
        <v>1980.0</v>
      </c>
      <c r="Z5" s="2">
        <v>1981.0</v>
      </c>
      <c r="AA5" s="2">
        <v>1982.0</v>
      </c>
      <c r="AB5" s="2">
        <v>1983.0</v>
      </c>
      <c r="AC5" s="2">
        <v>1984.0</v>
      </c>
      <c r="AD5" s="2">
        <v>1985.0</v>
      </c>
      <c r="AE5" s="2">
        <v>1986.0</v>
      </c>
      <c r="AF5" s="2">
        <v>1987.0</v>
      </c>
      <c r="AG5" s="2">
        <v>1988.0</v>
      </c>
      <c r="AH5" s="2">
        <v>1989.0</v>
      </c>
      <c r="AI5" s="2">
        <v>1990.0</v>
      </c>
      <c r="AJ5" s="2">
        <v>1991.0</v>
      </c>
      <c r="AK5" s="2">
        <v>1992.0</v>
      </c>
      <c r="AL5" s="2">
        <v>1993.0</v>
      </c>
      <c r="AM5" s="2">
        <v>1994.0</v>
      </c>
      <c r="AN5" s="2">
        <v>1995.0</v>
      </c>
      <c r="AO5" s="2">
        <v>1996.0</v>
      </c>
      <c r="AP5" s="2">
        <v>1997.0</v>
      </c>
      <c r="AQ5" s="2">
        <v>1998.0</v>
      </c>
      <c r="AR5" s="2">
        <v>1999.0</v>
      </c>
      <c r="AS5" s="2">
        <v>2000.0</v>
      </c>
      <c r="AT5" s="2">
        <v>2001.0</v>
      </c>
      <c r="AU5" s="2">
        <v>2002.0</v>
      </c>
      <c r="AV5" s="2">
        <v>2003.0</v>
      </c>
      <c r="AW5" s="2">
        <v>2004.0</v>
      </c>
      <c r="AX5" s="2">
        <v>2005.0</v>
      </c>
      <c r="AY5" s="2">
        <v>2006.0</v>
      </c>
      <c r="AZ5" s="2">
        <v>2007.0</v>
      </c>
      <c r="BA5" s="2">
        <v>2008.0</v>
      </c>
      <c r="BB5" s="2">
        <v>2009.0</v>
      </c>
      <c r="BC5" s="2">
        <v>2010.0</v>
      </c>
      <c r="BD5" s="2">
        <v>2011.0</v>
      </c>
      <c r="BE5" s="2">
        <v>2012.0</v>
      </c>
      <c r="BF5" s="2">
        <v>2013.0</v>
      </c>
      <c r="BG5" s="2">
        <v>2014.0</v>
      </c>
      <c r="BH5" s="2">
        <v>2015.0</v>
      </c>
      <c r="BI5" s="2">
        <v>2016.0</v>
      </c>
      <c r="BJ5" s="2">
        <v>2017.0</v>
      </c>
      <c r="BK5" s="2">
        <v>2018.0</v>
      </c>
      <c r="BL5" s="2">
        <v>2019.0</v>
      </c>
      <c r="BM5" s="2">
        <v>2020.0</v>
      </c>
      <c r="BN5" s="2">
        <v>2021.0</v>
      </c>
      <c r="BO5" s="2">
        <v>2022.0</v>
      </c>
      <c r="BP5" s="2">
        <v>2023.0</v>
      </c>
      <c r="BQ5" s="2">
        <v>2024.0</v>
      </c>
      <c r="BR5" s="2">
        <v>2025.0</v>
      </c>
      <c r="BS5" s="2" t="s">
        <v>12</v>
      </c>
      <c r="BT5" s="2" t="s">
        <v>13</v>
      </c>
    </row>
    <row r="6" hidden="1">
      <c r="A6" s="2" t="s">
        <v>14</v>
      </c>
      <c r="B6" s="2" t="s">
        <v>15</v>
      </c>
      <c r="C6" s="2" t="s">
        <v>4</v>
      </c>
      <c r="D6" s="2" t="s">
        <v>5</v>
      </c>
      <c r="AI6" s="2">
        <v>100.0</v>
      </c>
      <c r="AJ6" s="2">
        <v>99.1536560058594</v>
      </c>
      <c r="AK6" s="2">
        <v>99.1971282958984</v>
      </c>
      <c r="AL6" s="2">
        <v>99.2399139404297</v>
      </c>
      <c r="AM6" s="2">
        <v>100.0</v>
      </c>
      <c r="AN6" s="2">
        <v>100.0</v>
      </c>
      <c r="AO6" s="2">
        <v>100.0</v>
      </c>
      <c r="AP6" s="2">
        <v>100.0</v>
      </c>
      <c r="AQ6" s="2">
        <v>100.0</v>
      </c>
      <c r="AR6" s="2">
        <v>100.0</v>
      </c>
      <c r="AS6" s="2">
        <v>91.7</v>
      </c>
      <c r="AT6" s="2">
        <v>100.0</v>
      </c>
      <c r="AU6" s="2">
        <v>100.0</v>
      </c>
      <c r="AV6" s="2">
        <v>100.0</v>
      </c>
      <c r="AW6" s="2">
        <v>100.0</v>
      </c>
      <c r="AX6" s="2">
        <v>100.0</v>
      </c>
      <c r="AY6" s="2">
        <v>100.0</v>
      </c>
      <c r="AZ6" s="2">
        <v>100.0</v>
      </c>
      <c r="BA6" s="2">
        <v>100.0</v>
      </c>
      <c r="BB6" s="2">
        <v>100.0</v>
      </c>
      <c r="BC6" s="2">
        <v>93.4</v>
      </c>
      <c r="BD6" s="2">
        <v>100.0</v>
      </c>
      <c r="BE6" s="2">
        <v>100.0</v>
      </c>
      <c r="BF6" s="2">
        <v>100.0</v>
      </c>
      <c r="BG6" s="2">
        <v>100.0</v>
      </c>
      <c r="BH6" s="2">
        <v>100.0</v>
      </c>
      <c r="BI6" s="2">
        <v>100.0</v>
      </c>
      <c r="BJ6" s="2">
        <v>100.0</v>
      </c>
      <c r="BK6" s="2">
        <v>100.0</v>
      </c>
      <c r="BL6" s="2">
        <v>100.0</v>
      </c>
      <c r="BM6" s="2">
        <v>100.0</v>
      </c>
      <c r="BN6" s="2">
        <v>100.0</v>
      </c>
      <c r="BO6" s="2">
        <v>99.9</v>
      </c>
      <c r="BP6" s="2">
        <v>100.0</v>
      </c>
      <c r="BQ6" s="2">
        <v>100.0</v>
      </c>
      <c r="BS6" s="3" t="str">
        <f>VLOOKUP(B6, Metadata!A:B, 2, FALSE)</f>
        <v>Latin America &amp; Caribbean</v>
      </c>
      <c r="BT6" s="3">
        <f>VLOOKUP(B6,Population!A:B,2,FALSE)*(1-BP6/100)</f>
        <v>0</v>
      </c>
    </row>
    <row r="7" hidden="1">
      <c r="A7" s="2" t="s">
        <v>18</v>
      </c>
      <c r="B7" s="2" t="s">
        <v>19</v>
      </c>
      <c r="C7" s="2" t="s">
        <v>4</v>
      </c>
      <c r="D7" s="2" t="s">
        <v>5</v>
      </c>
      <c r="AS7" s="2">
        <v>19.9172563342889</v>
      </c>
      <c r="AT7" s="2">
        <v>19.9442774203583</v>
      </c>
      <c r="AU7" s="2">
        <v>21.5486466155625</v>
      </c>
      <c r="AV7" s="2">
        <v>22.4932167182052</v>
      </c>
      <c r="AW7" s="2">
        <v>23.724454932615</v>
      </c>
      <c r="AX7" s="2">
        <v>23.449539355606</v>
      </c>
      <c r="AY7" s="2">
        <v>25.1724823105969</v>
      </c>
      <c r="AZ7" s="2">
        <v>26.7951445862147</v>
      </c>
      <c r="BA7" s="2">
        <v>25.9088451344457</v>
      </c>
      <c r="BB7" s="2">
        <v>26.1878464781111</v>
      </c>
      <c r="BC7" s="2">
        <v>27.414953756332</v>
      </c>
      <c r="BD7" s="2">
        <v>28.909756234127</v>
      </c>
      <c r="BE7" s="2">
        <v>31.6734274619175</v>
      </c>
      <c r="BF7" s="2">
        <v>31.7235735731483</v>
      </c>
      <c r="BG7" s="2">
        <v>31.8719561283579</v>
      </c>
      <c r="BH7" s="2">
        <v>33.9222756622758</v>
      </c>
      <c r="BI7" s="2">
        <v>38.8595976583714</v>
      </c>
      <c r="BJ7" s="2">
        <v>40.2237441730368</v>
      </c>
      <c r="BK7" s="2">
        <v>43.0350733507835</v>
      </c>
      <c r="BL7" s="2">
        <v>44.3908605333639</v>
      </c>
      <c r="BM7" s="2">
        <v>46.2823709455637</v>
      </c>
      <c r="BN7" s="2">
        <v>48.1272110400485</v>
      </c>
      <c r="BO7" s="2">
        <v>48.7420429375177</v>
      </c>
      <c r="BP7" s="2">
        <v>50.6675157944854</v>
      </c>
      <c r="BQ7" s="2">
        <v>52.5981705163589</v>
      </c>
      <c r="BS7" s="3" t="str">
        <f>VLOOKUP(B7, Metadata!A:B, 2, FALSE)</f>
        <v/>
      </c>
    </row>
    <row r="8" hidden="1">
      <c r="A8" s="2" t="s">
        <v>22</v>
      </c>
      <c r="B8" s="2" t="s">
        <v>23</v>
      </c>
      <c r="C8" s="2" t="s">
        <v>4</v>
      </c>
      <c r="D8" s="2" t="s">
        <v>5</v>
      </c>
      <c r="AS8" s="2">
        <v>4.4</v>
      </c>
      <c r="AT8" s="2">
        <v>9.3</v>
      </c>
      <c r="AU8" s="2">
        <v>14.1</v>
      </c>
      <c r="AV8" s="2">
        <v>19.0</v>
      </c>
      <c r="AW8" s="2">
        <v>23.8</v>
      </c>
      <c r="AX8" s="2">
        <v>28.7</v>
      </c>
      <c r="AY8" s="2">
        <v>33.5</v>
      </c>
      <c r="AZ8" s="2">
        <v>38.4</v>
      </c>
      <c r="BA8" s="2">
        <v>42.4</v>
      </c>
      <c r="BB8" s="2">
        <v>48.3</v>
      </c>
      <c r="BC8" s="2">
        <v>42.7</v>
      </c>
      <c r="BD8" s="2">
        <v>43.2</v>
      </c>
      <c r="BE8" s="2">
        <v>69.1</v>
      </c>
      <c r="BF8" s="2">
        <v>68.0</v>
      </c>
      <c r="BG8" s="2">
        <v>89.5</v>
      </c>
      <c r="BH8" s="2">
        <v>71.5</v>
      </c>
      <c r="BI8" s="2">
        <v>97.7</v>
      </c>
      <c r="BJ8" s="2">
        <v>97.7</v>
      </c>
      <c r="BK8" s="2">
        <v>93.4</v>
      </c>
      <c r="BL8" s="2">
        <v>97.7</v>
      </c>
      <c r="BM8" s="2">
        <v>97.7</v>
      </c>
      <c r="BN8" s="2">
        <v>97.7</v>
      </c>
      <c r="BO8" s="2">
        <v>85.3</v>
      </c>
      <c r="BP8" s="2">
        <v>85.3</v>
      </c>
      <c r="BQ8" s="2">
        <v>87.8</v>
      </c>
      <c r="BS8" s="3" t="str">
        <f>VLOOKUP(B8, Metadata!A:B, 2, FALSE)</f>
        <v>Middle East &amp; North Africa</v>
      </c>
    </row>
    <row r="9" hidden="1">
      <c r="A9" s="2" t="s">
        <v>26</v>
      </c>
      <c r="B9" s="2" t="s">
        <v>27</v>
      </c>
      <c r="C9" s="2" t="s">
        <v>4</v>
      </c>
      <c r="D9" s="2" t="s">
        <v>5</v>
      </c>
      <c r="AL9" s="2">
        <v>31.6534685725078</v>
      </c>
      <c r="AM9" s="2">
        <v>32.6922076344145</v>
      </c>
      <c r="AN9" s="2">
        <v>33.6948353431794</v>
      </c>
      <c r="AO9" s="2">
        <v>32.6973945834538</v>
      </c>
      <c r="AP9" s="2">
        <v>32.5239197544343</v>
      </c>
      <c r="AQ9" s="2">
        <v>33.5373691963522</v>
      </c>
      <c r="AR9" s="2">
        <v>34.9189510860648</v>
      </c>
      <c r="AS9" s="2">
        <v>34.2688374610643</v>
      </c>
      <c r="AT9" s="2">
        <v>35.3443670614079</v>
      </c>
      <c r="AU9" s="2">
        <v>35.8286077252919</v>
      </c>
      <c r="AV9" s="2">
        <v>39.9830906630448</v>
      </c>
      <c r="AW9" s="2">
        <v>37.6119675415355</v>
      </c>
      <c r="AX9" s="2">
        <v>37.9445063873223</v>
      </c>
      <c r="AY9" s="2">
        <v>39.969425653794</v>
      </c>
      <c r="AZ9" s="2">
        <v>40.8791483784919</v>
      </c>
      <c r="BA9" s="2">
        <v>41.8786697808203</v>
      </c>
      <c r="BB9" s="2">
        <v>42.0123595500348</v>
      </c>
      <c r="BC9" s="2">
        <v>41.9644553034197</v>
      </c>
      <c r="BD9" s="2">
        <v>46.0690344248595</v>
      </c>
      <c r="BE9" s="2">
        <v>44.1924075401795</v>
      </c>
      <c r="BF9" s="2">
        <v>47.2021234922582</v>
      </c>
      <c r="BG9" s="2">
        <v>47.7700807261544</v>
      </c>
      <c r="BH9" s="2">
        <v>46.865482628436</v>
      </c>
      <c r="BI9" s="2">
        <v>51.0516355535304</v>
      </c>
      <c r="BJ9" s="2">
        <v>48.902227563243</v>
      </c>
      <c r="BK9" s="2">
        <v>51.3381985112771</v>
      </c>
      <c r="BL9" s="2">
        <v>51.2893740480215</v>
      </c>
      <c r="BM9" s="2">
        <v>51.8518662109613</v>
      </c>
      <c r="BN9" s="2">
        <v>54.3660120999023</v>
      </c>
      <c r="BO9" s="2">
        <v>55.5855936928306</v>
      </c>
      <c r="BP9" s="2">
        <v>57.0647374680747</v>
      </c>
      <c r="BQ9" s="2">
        <v>58.8221662248088</v>
      </c>
      <c r="BS9" s="3" t="str">
        <f>VLOOKUP(B9, Metadata!A:B, 2, FALSE)</f>
        <v/>
      </c>
    </row>
    <row r="10">
      <c r="A10" s="2" t="s">
        <v>32</v>
      </c>
      <c r="B10" s="2" t="s">
        <v>33</v>
      </c>
      <c r="C10" s="2" t="s">
        <v>4</v>
      </c>
      <c r="D10" s="2" t="s">
        <v>5</v>
      </c>
      <c r="AS10" s="2">
        <v>24.2</v>
      </c>
      <c r="AT10" s="2">
        <v>20.0</v>
      </c>
      <c r="AU10" s="2">
        <v>26.3</v>
      </c>
      <c r="AV10" s="2">
        <v>27.4</v>
      </c>
      <c r="AW10" s="2">
        <v>28.4</v>
      </c>
      <c r="AX10" s="2">
        <v>29.4</v>
      </c>
      <c r="AY10" s="2">
        <v>30.5</v>
      </c>
      <c r="AZ10" s="2">
        <v>37.5</v>
      </c>
      <c r="BA10" s="2">
        <v>38.5</v>
      </c>
      <c r="BB10" s="2">
        <v>33.8</v>
      </c>
      <c r="BC10" s="2">
        <v>35.0</v>
      </c>
      <c r="BD10" s="2">
        <v>34.6</v>
      </c>
      <c r="BE10" s="2">
        <v>37.3</v>
      </c>
      <c r="BF10" s="2">
        <v>38.4</v>
      </c>
      <c r="BG10" s="2">
        <v>32.0</v>
      </c>
      <c r="BH10" s="2">
        <v>42.0</v>
      </c>
      <c r="BI10" s="2">
        <v>41.8</v>
      </c>
      <c r="BJ10" s="2">
        <v>42.9</v>
      </c>
      <c r="BK10" s="2">
        <v>45.3</v>
      </c>
      <c r="BL10" s="2">
        <v>45.6</v>
      </c>
      <c r="BM10" s="2">
        <v>47.0</v>
      </c>
      <c r="BN10" s="2">
        <v>48.2</v>
      </c>
      <c r="BO10" s="2">
        <v>48.5</v>
      </c>
      <c r="BP10" s="2">
        <v>51.1</v>
      </c>
      <c r="BQ10" s="2">
        <v>55.5</v>
      </c>
      <c r="BS10" s="3" t="str">
        <f>VLOOKUP(B10, Metadata!A:B, 2, FALSE)</f>
        <v>Sub-Saharan Africa</v>
      </c>
      <c r="BT10" s="3">
        <f>VLOOKUP(B6,Population!A:B,2,FALSE)*(1-BP6/100)</f>
        <v>0</v>
      </c>
    </row>
    <row r="11" hidden="1">
      <c r="A11" s="2" t="s">
        <v>36</v>
      </c>
      <c r="B11" s="2" t="s">
        <v>37</v>
      </c>
      <c r="C11" s="2" t="s">
        <v>4</v>
      </c>
      <c r="D11" s="2" t="s">
        <v>5</v>
      </c>
      <c r="AI11" s="2">
        <v>100.0</v>
      </c>
      <c r="AJ11" s="2">
        <v>100.0</v>
      </c>
      <c r="AK11" s="2">
        <v>100.0</v>
      </c>
      <c r="AL11" s="2">
        <v>100.0</v>
      </c>
      <c r="AM11" s="2">
        <v>100.0</v>
      </c>
      <c r="AN11" s="2">
        <v>100.0</v>
      </c>
      <c r="AO11" s="2">
        <v>100.0</v>
      </c>
      <c r="AP11" s="2">
        <v>100.0</v>
      </c>
      <c r="AQ11" s="2">
        <v>100.0</v>
      </c>
      <c r="AR11" s="2">
        <v>100.0</v>
      </c>
      <c r="AS11" s="2">
        <v>99.4</v>
      </c>
      <c r="AT11" s="2">
        <v>99.4</v>
      </c>
      <c r="AU11" s="2">
        <v>99.4</v>
      </c>
      <c r="AV11" s="2">
        <v>99.4</v>
      </c>
      <c r="AW11" s="2">
        <v>99.4</v>
      </c>
      <c r="AX11" s="2">
        <v>99.4</v>
      </c>
      <c r="AY11" s="2">
        <v>99.4</v>
      </c>
      <c r="AZ11" s="2">
        <v>99.4</v>
      </c>
      <c r="BA11" s="2">
        <v>100.0</v>
      </c>
      <c r="BB11" s="2">
        <v>99.6</v>
      </c>
      <c r="BC11" s="2">
        <v>99.6</v>
      </c>
      <c r="BD11" s="2">
        <v>99.7</v>
      </c>
      <c r="BE11" s="2">
        <v>99.9</v>
      </c>
      <c r="BF11" s="2">
        <v>99.9</v>
      </c>
      <c r="BG11" s="2">
        <v>100.0</v>
      </c>
      <c r="BH11" s="2">
        <v>100.0</v>
      </c>
      <c r="BI11" s="2">
        <v>99.9</v>
      </c>
      <c r="BJ11" s="2">
        <v>99.9</v>
      </c>
      <c r="BK11" s="2">
        <v>100.0</v>
      </c>
      <c r="BL11" s="2">
        <v>100.0</v>
      </c>
      <c r="BM11" s="2">
        <v>100.0</v>
      </c>
      <c r="BN11" s="2">
        <v>100.0</v>
      </c>
      <c r="BO11" s="2">
        <v>100.0</v>
      </c>
      <c r="BP11" s="2">
        <v>100.0</v>
      </c>
      <c r="BQ11" s="2">
        <v>100.0</v>
      </c>
      <c r="BS11" s="3" t="str">
        <f>VLOOKUP(B11, Metadata!A:B, 2, FALSE)</f>
        <v>Europe &amp; Central Asia</v>
      </c>
    </row>
    <row r="12" hidden="1">
      <c r="A12" s="2" t="s">
        <v>40</v>
      </c>
      <c r="B12" s="2" t="s">
        <v>41</v>
      </c>
      <c r="C12" s="2" t="s">
        <v>4</v>
      </c>
      <c r="D12" s="2" t="s">
        <v>5</v>
      </c>
      <c r="AI12" s="2">
        <v>100.0</v>
      </c>
      <c r="AJ12" s="2">
        <v>100.0</v>
      </c>
      <c r="AK12" s="2">
        <v>100.0</v>
      </c>
      <c r="AL12" s="2">
        <v>100.0</v>
      </c>
      <c r="AM12" s="2">
        <v>100.0</v>
      </c>
      <c r="AN12" s="2">
        <v>100.0</v>
      </c>
      <c r="AO12" s="2">
        <v>100.0</v>
      </c>
      <c r="AP12" s="2">
        <v>100.0</v>
      </c>
      <c r="AQ12" s="2">
        <v>100.0</v>
      </c>
      <c r="AR12" s="2">
        <v>100.0</v>
      </c>
      <c r="AS12" s="2">
        <v>100.0</v>
      </c>
      <c r="AT12" s="2">
        <v>100.0</v>
      </c>
      <c r="AU12" s="2">
        <v>100.0</v>
      </c>
      <c r="AV12" s="2">
        <v>100.0</v>
      </c>
      <c r="AW12" s="2">
        <v>100.0</v>
      </c>
      <c r="AX12" s="2">
        <v>100.0</v>
      </c>
      <c r="AY12" s="2">
        <v>100.0</v>
      </c>
      <c r="AZ12" s="2">
        <v>100.0</v>
      </c>
      <c r="BA12" s="2">
        <v>100.0</v>
      </c>
      <c r="BB12" s="2">
        <v>100.0</v>
      </c>
      <c r="BC12" s="2">
        <v>100.0</v>
      </c>
      <c r="BD12" s="2">
        <v>100.0</v>
      </c>
      <c r="BE12" s="2">
        <v>100.0</v>
      </c>
      <c r="BF12" s="2">
        <v>100.0</v>
      </c>
      <c r="BG12" s="2">
        <v>100.0</v>
      </c>
      <c r="BH12" s="2">
        <v>100.0</v>
      </c>
      <c r="BI12" s="2">
        <v>100.0</v>
      </c>
      <c r="BJ12" s="2">
        <v>100.0</v>
      </c>
      <c r="BK12" s="2">
        <v>100.0</v>
      </c>
      <c r="BL12" s="2">
        <v>100.0</v>
      </c>
      <c r="BM12" s="2">
        <v>100.0</v>
      </c>
      <c r="BN12" s="2">
        <v>100.0</v>
      </c>
      <c r="BO12" s="2">
        <v>100.0</v>
      </c>
      <c r="BP12" s="2">
        <v>100.0</v>
      </c>
      <c r="BQ12" s="2">
        <v>100.0</v>
      </c>
      <c r="BS12" s="3" t="str">
        <f>VLOOKUP(B12, Metadata!A:B, 2, FALSE)</f>
        <v>Europe &amp; Central Asia</v>
      </c>
    </row>
    <row r="13" hidden="1">
      <c r="A13" s="2" t="s">
        <v>44</v>
      </c>
      <c r="B13" s="2" t="s">
        <v>45</v>
      </c>
      <c r="C13" s="2" t="s">
        <v>4</v>
      </c>
      <c r="D13" s="2" t="s">
        <v>5</v>
      </c>
      <c r="AP13" s="2">
        <v>76.6117766148893</v>
      </c>
      <c r="AQ13" s="2">
        <v>77.5412552853078</v>
      </c>
      <c r="AR13" s="2">
        <v>78.1564043364063</v>
      </c>
      <c r="AS13" s="2">
        <v>80.4586672566828</v>
      </c>
      <c r="AT13" s="2">
        <v>81.3547942659304</v>
      </c>
      <c r="AU13" s="2">
        <v>81.323622346782</v>
      </c>
      <c r="AV13" s="2">
        <v>82.3422219013586</v>
      </c>
      <c r="AW13" s="2">
        <v>82.2795249538868</v>
      </c>
      <c r="AX13" s="2">
        <v>83.07676744851</v>
      </c>
      <c r="AY13" s="2">
        <v>85.2843937164942</v>
      </c>
      <c r="AZ13" s="2">
        <v>83.6267638046023</v>
      </c>
      <c r="BA13" s="2">
        <v>83.2755641606337</v>
      </c>
      <c r="BB13" s="2">
        <v>84.1597287073639</v>
      </c>
      <c r="BC13" s="2">
        <v>86.921502593511</v>
      </c>
      <c r="BD13" s="2">
        <v>87.1726942320297</v>
      </c>
      <c r="BE13" s="2">
        <v>86.8478669651407</v>
      </c>
      <c r="BF13" s="2">
        <v>88.9616299190749</v>
      </c>
      <c r="BG13" s="2">
        <v>88.4067767085653</v>
      </c>
      <c r="BH13" s="2">
        <v>88.6616431398725</v>
      </c>
      <c r="BI13" s="2">
        <v>89.1861710572825</v>
      </c>
      <c r="BJ13" s="2">
        <v>90.3510669396465</v>
      </c>
      <c r="BK13" s="2">
        <v>88.6898406472267</v>
      </c>
      <c r="BL13" s="2">
        <v>89.9289963083413</v>
      </c>
      <c r="BM13" s="2">
        <v>90.2417769685806</v>
      </c>
      <c r="BN13" s="2">
        <v>90.4340947732985</v>
      </c>
      <c r="BO13" s="2">
        <v>90.6545179070033</v>
      </c>
      <c r="BP13" s="2">
        <v>91.6454299444509</v>
      </c>
      <c r="BQ13" s="2">
        <v>92.1659179921314</v>
      </c>
      <c r="BS13" s="3" t="str">
        <f>VLOOKUP(B13, Metadata!A:B, 2, FALSE)</f>
        <v/>
      </c>
    </row>
    <row r="14" hidden="1">
      <c r="A14" s="2" t="s">
        <v>48</v>
      </c>
      <c r="B14" s="2" t="s">
        <v>49</v>
      </c>
      <c r="C14" s="2" t="s">
        <v>4</v>
      </c>
      <c r="D14" s="2" t="s">
        <v>5</v>
      </c>
      <c r="AI14" s="2">
        <v>100.0</v>
      </c>
      <c r="AJ14" s="2">
        <v>100.0</v>
      </c>
      <c r="AK14" s="2">
        <v>100.0</v>
      </c>
      <c r="AL14" s="2">
        <v>100.0</v>
      </c>
      <c r="AM14" s="2">
        <v>100.0</v>
      </c>
      <c r="AN14" s="2">
        <v>100.0</v>
      </c>
      <c r="AO14" s="2">
        <v>100.0</v>
      </c>
      <c r="AP14" s="2">
        <v>100.0</v>
      </c>
      <c r="AQ14" s="2">
        <v>100.0</v>
      </c>
      <c r="AR14" s="2">
        <v>100.0</v>
      </c>
      <c r="AS14" s="2">
        <v>100.0</v>
      </c>
      <c r="AT14" s="2">
        <v>100.0</v>
      </c>
      <c r="AU14" s="2">
        <v>100.0</v>
      </c>
      <c r="AV14" s="2">
        <v>100.0</v>
      </c>
      <c r="AW14" s="2">
        <v>100.0</v>
      </c>
      <c r="AX14" s="2">
        <v>100.0</v>
      </c>
      <c r="AY14" s="2">
        <v>100.0</v>
      </c>
      <c r="AZ14" s="2">
        <v>100.0</v>
      </c>
      <c r="BA14" s="2">
        <v>100.0</v>
      </c>
      <c r="BB14" s="2">
        <v>100.0</v>
      </c>
      <c r="BC14" s="2">
        <v>100.0</v>
      </c>
      <c r="BD14" s="2">
        <v>100.0</v>
      </c>
      <c r="BE14" s="2">
        <v>100.0</v>
      </c>
      <c r="BF14" s="2">
        <v>100.0</v>
      </c>
      <c r="BG14" s="2">
        <v>100.0</v>
      </c>
      <c r="BH14" s="2">
        <v>100.0</v>
      </c>
      <c r="BI14" s="2">
        <v>100.0</v>
      </c>
      <c r="BJ14" s="2">
        <v>100.0</v>
      </c>
      <c r="BK14" s="2">
        <v>100.0</v>
      </c>
      <c r="BL14" s="2">
        <v>100.0</v>
      </c>
      <c r="BM14" s="2">
        <v>100.0</v>
      </c>
      <c r="BN14" s="2">
        <v>100.0</v>
      </c>
      <c r="BO14" s="2">
        <v>100.0</v>
      </c>
      <c r="BP14" s="2">
        <v>100.0</v>
      </c>
      <c r="BQ14" s="2">
        <v>100.0</v>
      </c>
      <c r="BS14" s="3" t="str">
        <f>VLOOKUP(B14, Metadata!A:B, 2, FALSE)</f>
        <v>Middle East &amp; North Africa</v>
      </c>
    </row>
    <row r="15" hidden="1">
      <c r="A15" s="2" t="s">
        <v>50</v>
      </c>
      <c r="B15" s="2" t="s">
        <v>51</v>
      </c>
      <c r="C15" s="2" t="s">
        <v>4</v>
      </c>
      <c r="D15" s="2" t="s">
        <v>5</v>
      </c>
      <c r="AI15" s="2">
        <v>92.1548004150391</v>
      </c>
      <c r="AJ15" s="2">
        <v>92.4921875</v>
      </c>
      <c r="AK15" s="2">
        <v>92.8294525146484</v>
      </c>
      <c r="AL15" s="2">
        <v>93.1660461425781</v>
      </c>
      <c r="AM15" s="2">
        <v>93.5012741088867</v>
      </c>
      <c r="AN15" s="2">
        <v>93.8344650268555</v>
      </c>
      <c r="AO15" s="2">
        <v>94.1649398803711</v>
      </c>
      <c r="AP15" s="2">
        <v>94.4920120239258</v>
      </c>
      <c r="AQ15" s="2">
        <v>94.8150024414063</v>
      </c>
      <c r="AR15" s="2">
        <v>95.1331558227539</v>
      </c>
      <c r="AS15" s="2">
        <v>95.7</v>
      </c>
      <c r="AT15" s="2">
        <v>95.5</v>
      </c>
      <c r="AU15" s="2">
        <v>96.1</v>
      </c>
      <c r="AV15" s="2">
        <v>96.3</v>
      </c>
      <c r="AW15" s="2">
        <v>96.5</v>
      </c>
      <c r="AX15" s="2">
        <v>96.7</v>
      </c>
      <c r="AY15" s="2">
        <v>97.0</v>
      </c>
      <c r="AZ15" s="2">
        <v>97.2</v>
      </c>
      <c r="BA15" s="2">
        <v>97.5</v>
      </c>
      <c r="BB15" s="2">
        <v>97.8</v>
      </c>
      <c r="BC15" s="2">
        <v>98.8</v>
      </c>
      <c r="BD15" s="2">
        <v>99.0</v>
      </c>
      <c r="BE15" s="2">
        <v>99.1</v>
      </c>
      <c r="BF15" s="2">
        <v>99.3</v>
      </c>
      <c r="BG15" s="2">
        <v>100.0</v>
      </c>
      <c r="BH15" s="2">
        <v>99.7</v>
      </c>
      <c r="BI15" s="2">
        <v>99.9</v>
      </c>
      <c r="BJ15" s="2">
        <v>100.0</v>
      </c>
      <c r="BK15" s="2">
        <v>100.0</v>
      </c>
      <c r="BL15" s="2">
        <v>100.0</v>
      </c>
      <c r="BM15" s="2">
        <v>100.0</v>
      </c>
      <c r="BN15" s="2">
        <v>100.0</v>
      </c>
      <c r="BO15" s="2">
        <v>100.0</v>
      </c>
      <c r="BP15" s="2">
        <v>100.0</v>
      </c>
      <c r="BQ15" s="2">
        <v>98.4</v>
      </c>
      <c r="BS15" s="3" t="str">
        <f>VLOOKUP(B15, Metadata!A:B, 2, FALSE)</f>
        <v>Latin America &amp; Caribbean</v>
      </c>
    </row>
    <row r="16" hidden="1">
      <c r="A16" s="2" t="s">
        <v>52</v>
      </c>
      <c r="B16" s="2" t="s">
        <v>53</v>
      </c>
      <c r="C16" s="2" t="s">
        <v>4</v>
      </c>
      <c r="D16" s="2" t="s">
        <v>5</v>
      </c>
      <c r="AS16" s="2">
        <v>98.9</v>
      </c>
      <c r="AT16" s="2">
        <v>100.0</v>
      </c>
      <c r="AU16" s="2">
        <v>98.0</v>
      </c>
      <c r="AV16" s="2">
        <v>99.1</v>
      </c>
      <c r="AW16" s="2">
        <v>99.1</v>
      </c>
      <c r="AX16" s="2">
        <v>99.8</v>
      </c>
      <c r="AY16" s="2">
        <v>99.1</v>
      </c>
      <c r="AZ16" s="2">
        <v>99.2</v>
      </c>
      <c r="BA16" s="2">
        <v>99.2</v>
      </c>
      <c r="BB16" s="2">
        <v>99.3</v>
      </c>
      <c r="BC16" s="2">
        <v>99.8</v>
      </c>
      <c r="BD16" s="2">
        <v>99.5</v>
      </c>
      <c r="BE16" s="2">
        <v>99.5</v>
      </c>
      <c r="BF16" s="2">
        <v>99.4</v>
      </c>
      <c r="BG16" s="2">
        <v>99.7</v>
      </c>
      <c r="BH16" s="2">
        <v>100.0</v>
      </c>
      <c r="BI16" s="2">
        <v>99.8</v>
      </c>
      <c r="BJ16" s="2">
        <v>99.7</v>
      </c>
      <c r="BK16" s="2">
        <v>99.9</v>
      </c>
      <c r="BL16" s="2">
        <v>100.0</v>
      </c>
      <c r="BM16" s="2">
        <v>100.0</v>
      </c>
      <c r="BN16" s="2">
        <v>100.0</v>
      </c>
      <c r="BO16" s="2">
        <v>100.0</v>
      </c>
      <c r="BP16" s="2">
        <v>100.0</v>
      </c>
      <c r="BQ16" s="2">
        <v>100.0</v>
      </c>
      <c r="BS16" s="3" t="str">
        <f>VLOOKUP(B16, Metadata!A:B, 2, FALSE)</f>
        <v>Europe &amp; Central Asia</v>
      </c>
    </row>
    <row r="17" hidden="1">
      <c r="A17" s="2" t="s">
        <v>56</v>
      </c>
      <c r="B17" s="2" t="s">
        <v>57</v>
      </c>
      <c r="C17" s="2" t="s">
        <v>4</v>
      </c>
      <c r="D17" s="2" t="s">
        <v>5</v>
      </c>
      <c r="BS17" s="3" t="str">
        <f>VLOOKUP(B17, Metadata!A:B, 2, FALSE)</f>
        <v>East Asia &amp; Pacific</v>
      </c>
    </row>
    <row r="18" hidden="1">
      <c r="A18" s="2" t="s">
        <v>58</v>
      </c>
      <c r="B18" s="2" t="s">
        <v>59</v>
      </c>
      <c r="C18" s="2" t="s">
        <v>4</v>
      </c>
      <c r="D18" s="2" t="s">
        <v>5</v>
      </c>
      <c r="AI18" s="2">
        <v>95.7630462646484</v>
      </c>
      <c r="AJ18" s="2">
        <v>95.9406509399414</v>
      </c>
      <c r="AK18" s="2">
        <v>96.1181335449219</v>
      </c>
      <c r="AL18" s="2">
        <v>96.2949447631836</v>
      </c>
      <c r="AM18" s="2">
        <v>96.4703903198242</v>
      </c>
      <c r="AN18" s="2">
        <v>96.643798828125</v>
      </c>
      <c r="AO18" s="2">
        <v>96.8144836425781</v>
      </c>
      <c r="AP18" s="2">
        <v>96.9817733764648</v>
      </c>
      <c r="AQ18" s="2">
        <v>97.1449813842773</v>
      </c>
      <c r="AR18" s="2">
        <v>97.303352355957</v>
      </c>
      <c r="AS18" s="2">
        <v>97.7</v>
      </c>
      <c r="AT18" s="2">
        <v>97.7</v>
      </c>
      <c r="AU18" s="2">
        <v>100.0</v>
      </c>
      <c r="AV18" s="2">
        <v>97.9</v>
      </c>
      <c r="AW18" s="2">
        <v>97.9</v>
      </c>
      <c r="AX18" s="2">
        <v>92.2</v>
      </c>
      <c r="AY18" s="2">
        <v>100.0</v>
      </c>
      <c r="AZ18" s="2">
        <v>100.0</v>
      </c>
      <c r="BA18" s="2">
        <v>100.0</v>
      </c>
      <c r="BB18" s="2">
        <v>98.5</v>
      </c>
      <c r="BC18" s="2">
        <v>98.7</v>
      </c>
      <c r="BD18" s="2">
        <v>94.6</v>
      </c>
      <c r="BE18" s="2">
        <v>100.0</v>
      </c>
      <c r="BF18" s="2">
        <v>100.0</v>
      </c>
      <c r="BG18" s="2">
        <v>100.0</v>
      </c>
      <c r="BH18" s="2">
        <v>100.0</v>
      </c>
      <c r="BI18" s="2">
        <v>100.0</v>
      </c>
      <c r="BJ18" s="2">
        <v>100.0</v>
      </c>
      <c r="BK18" s="2">
        <v>100.0</v>
      </c>
      <c r="BL18" s="2">
        <v>100.0</v>
      </c>
      <c r="BM18" s="2">
        <v>100.0</v>
      </c>
      <c r="BN18" s="2">
        <v>100.0</v>
      </c>
      <c r="BO18" s="2">
        <v>100.0</v>
      </c>
      <c r="BP18" s="2">
        <v>100.0</v>
      </c>
      <c r="BQ18" s="2">
        <v>100.0</v>
      </c>
      <c r="BS18" s="3" t="str">
        <f>VLOOKUP(B18, Metadata!A:B, 2, FALSE)</f>
        <v>Latin America &amp; Caribbean</v>
      </c>
    </row>
    <row r="19" hidden="1">
      <c r="A19" s="2" t="s">
        <v>62</v>
      </c>
      <c r="B19" s="2" t="s">
        <v>63</v>
      </c>
      <c r="C19" s="2" t="s">
        <v>4</v>
      </c>
      <c r="D19" s="2" t="s">
        <v>5</v>
      </c>
      <c r="AI19" s="2">
        <v>100.0</v>
      </c>
      <c r="AJ19" s="2">
        <v>100.0</v>
      </c>
      <c r="AK19" s="2">
        <v>100.0</v>
      </c>
      <c r="AL19" s="2">
        <v>100.0</v>
      </c>
      <c r="AM19" s="2">
        <v>100.0</v>
      </c>
      <c r="AN19" s="2">
        <v>100.0</v>
      </c>
      <c r="AO19" s="2">
        <v>100.0</v>
      </c>
      <c r="AP19" s="2">
        <v>100.0</v>
      </c>
      <c r="AQ19" s="2">
        <v>100.0</v>
      </c>
      <c r="AR19" s="2">
        <v>100.0</v>
      </c>
      <c r="AS19" s="2">
        <v>100.0</v>
      </c>
      <c r="AT19" s="2">
        <v>100.0</v>
      </c>
      <c r="AU19" s="2">
        <v>100.0</v>
      </c>
      <c r="AV19" s="2">
        <v>100.0</v>
      </c>
      <c r="AW19" s="2">
        <v>100.0</v>
      </c>
      <c r="AX19" s="2">
        <v>100.0</v>
      </c>
      <c r="AY19" s="2">
        <v>100.0</v>
      </c>
      <c r="AZ19" s="2">
        <v>100.0</v>
      </c>
      <c r="BA19" s="2">
        <v>100.0</v>
      </c>
      <c r="BB19" s="2">
        <v>100.0</v>
      </c>
      <c r="BC19" s="2">
        <v>100.0</v>
      </c>
      <c r="BD19" s="2">
        <v>100.0</v>
      </c>
      <c r="BE19" s="2">
        <v>100.0</v>
      </c>
      <c r="BF19" s="2">
        <v>100.0</v>
      </c>
      <c r="BG19" s="2">
        <v>100.0</v>
      </c>
      <c r="BH19" s="2">
        <v>100.0</v>
      </c>
      <c r="BI19" s="2">
        <v>100.0</v>
      </c>
      <c r="BJ19" s="2">
        <v>100.0</v>
      </c>
      <c r="BK19" s="2">
        <v>100.0</v>
      </c>
      <c r="BL19" s="2">
        <v>100.0</v>
      </c>
      <c r="BM19" s="2">
        <v>100.0</v>
      </c>
      <c r="BN19" s="2">
        <v>100.0</v>
      </c>
      <c r="BO19" s="2">
        <v>100.0</v>
      </c>
      <c r="BP19" s="2">
        <v>100.0</v>
      </c>
      <c r="BQ19" s="2">
        <v>100.0</v>
      </c>
      <c r="BS19" s="3" t="str">
        <f>VLOOKUP(B19, Metadata!A:B, 2, FALSE)</f>
        <v>East Asia &amp; Pacific</v>
      </c>
    </row>
    <row r="20" hidden="1">
      <c r="A20" s="2" t="s">
        <v>64</v>
      </c>
      <c r="B20" s="2" t="s">
        <v>65</v>
      </c>
      <c r="C20" s="2" t="s">
        <v>4</v>
      </c>
      <c r="D20" s="2" t="s">
        <v>5</v>
      </c>
      <c r="AI20" s="2">
        <v>100.0</v>
      </c>
      <c r="AJ20" s="2">
        <v>100.0</v>
      </c>
      <c r="AK20" s="2">
        <v>100.0</v>
      </c>
      <c r="AL20" s="2">
        <v>100.0</v>
      </c>
      <c r="AM20" s="2">
        <v>100.0</v>
      </c>
      <c r="AN20" s="2">
        <v>100.0</v>
      </c>
      <c r="AO20" s="2">
        <v>100.0</v>
      </c>
      <c r="AP20" s="2">
        <v>100.0</v>
      </c>
      <c r="AQ20" s="2">
        <v>100.0</v>
      </c>
      <c r="AR20" s="2">
        <v>100.0</v>
      </c>
      <c r="AS20" s="2">
        <v>100.0</v>
      </c>
      <c r="AT20" s="2">
        <v>100.0</v>
      </c>
      <c r="AU20" s="2">
        <v>100.0</v>
      </c>
      <c r="AV20" s="2">
        <v>100.0</v>
      </c>
      <c r="AW20" s="2">
        <v>100.0</v>
      </c>
      <c r="AX20" s="2">
        <v>100.0</v>
      </c>
      <c r="AY20" s="2">
        <v>100.0</v>
      </c>
      <c r="AZ20" s="2">
        <v>100.0</v>
      </c>
      <c r="BA20" s="2">
        <v>100.0</v>
      </c>
      <c r="BB20" s="2">
        <v>100.0</v>
      </c>
      <c r="BC20" s="2">
        <v>100.0</v>
      </c>
      <c r="BD20" s="2">
        <v>100.0</v>
      </c>
      <c r="BE20" s="2">
        <v>100.0</v>
      </c>
      <c r="BF20" s="2">
        <v>100.0</v>
      </c>
      <c r="BG20" s="2">
        <v>100.0</v>
      </c>
      <c r="BH20" s="2">
        <v>100.0</v>
      </c>
      <c r="BI20" s="2">
        <v>100.0</v>
      </c>
      <c r="BJ20" s="2">
        <v>100.0</v>
      </c>
      <c r="BK20" s="2">
        <v>100.0</v>
      </c>
      <c r="BL20" s="2">
        <v>100.0</v>
      </c>
      <c r="BM20" s="2">
        <v>100.0</v>
      </c>
      <c r="BN20" s="2">
        <v>100.0</v>
      </c>
      <c r="BO20" s="2">
        <v>100.0</v>
      </c>
      <c r="BP20" s="2">
        <v>100.0</v>
      </c>
      <c r="BQ20" s="2">
        <v>100.0</v>
      </c>
      <c r="BS20" s="3" t="str">
        <f>VLOOKUP(B20, Metadata!A:B, 2, FALSE)</f>
        <v>Europe &amp; Central Asia</v>
      </c>
    </row>
    <row r="21" hidden="1">
      <c r="A21" s="2" t="s">
        <v>68</v>
      </c>
      <c r="B21" s="2" t="s">
        <v>69</v>
      </c>
      <c r="C21" s="2" t="s">
        <v>4</v>
      </c>
      <c r="D21" s="2" t="s">
        <v>5</v>
      </c>
      <c r="AR21" s="2">
        <v>97.0</v>
      </c>
      <c r="AS21" s="2">
        <v>98.9</v>
      </c>
      <c r="AT21" s="2">
        <v>98.6</v>
      </c>
      <c r="AU21" s="2">
        <v>100.0</v>
      </c>
      <c r="AV21" s="2">
        <v>98.8</v>
      </c>
      <c r="AW21" s="2">
        <v>99.0</v>
      </c>
      <c r="AX21" s="2">
        <v>99.1</v>
      </c>
      <c r="AY21" s="2">
        <v>99.5</v>
      </c>
      <c r="AZ21" s="2">
        <v>99.5</v>
      </c>
      <c r="BA21" s="2">
        <v>99.7</v>
      </c>
      <c r="BB21" s="2">
        <v>99.9</v>
      </c>
      <c r="BC21" s="2">
        <v>99.9</v>
      </c>
      <c r="BD21" s="2">
        <v>99.9</v>
      </c>
      <c r="BE21" s="2">
        <v>100.0</v>
      </c>
      <c r="BF21" s="2">
        <v>100.0</v>
      </c>
      <c r="BG21" s="2">
        <v>100.0</v>
      </c>
      <c r="BH21" s="2">
        <v>100.0</v>
      </c>
      <c r="BI21" s="2">
        <v>100.0</v>
      </c>
      <c r="BJ21" s="2">
        <v>100.0</v>
      </c>
      <c r="BK21" s="2">
        <v>100.0</v>
      </c>
      <c r="BL21" s="2">
        <v>100.0</v>
      </c>
      <c r="BM21" s="2">
        <v>100.0</v>
      </c>
      <c r="BN21" s="2">
        <v>100.0</v>
      </c>
      <c r="BO21" s="2">
        <v>100.0</v>
      </c>
      <c r="BP21" s="2">
        <v>100.0</v>
      </c>
      <c r="BQ21" s="2">
        <v>100.0</v>
      </c>
      <c r="BS21" s="3" t="str">
        <f>VLOOKUP(B21, Metadata!A:B, 2, FALSE)</f>
        <v>Europe &amp; Central Asia</v>
      </c>
    </row>
    <row r="22">
      <c r="A22" s="2" t="s">
        <v>70</v>
      </c>
      <c r="B22" s="2" t="s">
        <v>71</v>
      </c>
      <c r="C22" s="2" t="s">
        <v>4</v>
      </c>
      <c r="D22" s="2" t="s">
        <v>5</v>
      </c>
      <c r="AQ22" s="2">
        <v>3.9</v>
      </c>
      <c r="AR22" s="2">
        <v>2.07094931602478</v>
      </c>
      <c r="AS22" s="2">
        <v>2.5</v>
      </c>
      <c r="AT22" s="2">
        <v>2.8</v>
      </c>
      <c r="AU22" s="2">
        <v>3.1</v>
      </c>
      <c r="AV22" s="2">
        <v>3.4</v>
      </c>
      <c r="AW22" s="2">
        <v>3.7</v>
      </c>
      <c r="AX22" s="2">
        <v>3.2</v>
      </c>
      <c r="AY22" s="2">
        <v>2.7</v>
      </c>
      <c r="AZ22" s="2">
        <v>4.7</v>
      </c>
      <c r="BA22" s="2">
        <v>4.8</v>
      </c>
      <c r="BB22" s="2">
        <v>5.4</v>
      </c>
      <c r="BC22" s="2">
        <v>5.3</v>
      </c>
      <c r="BD22" s="2">
        <v>6.2</v>
      </c>
      <c r="BE22" s="2">
        <v>6.5</v>
      </c>
      <c r="BF22" s="2">
        <v>6.9</v>
      </c>
      <c r="BG22" s="2">
        <v>7.0</v>
      </c>
      <c r="BH22" s="2">
        <v>7.9</v>
      </c>
      <c r="BI22" s="2">
        <v>8.5</v>
      </c>
      <c r="BJ22" s="2">
        <v>9.3</v>
      </c>
      <c r="BK22" s="2">
        <v>9.5</v>
      </c>
      <c r="BL22" s="2">
        <v>9.8</v>
      </c>
      <c r="BM22" s="2">
        <v>9.1</v>
      </c>
      <c r="BN22" s="2">
        <v>10.2</v>
      </c>
      <c r="BO22" s="2">
        <v>10.3</v>
      </c>
      <c r="BP22" s="2">
        <v>11.6</v>
      </c>
      <c r="BQ22" s="2">
        <v>20.1</v>
      </c>
      <c r="BS22" s="3" t="str">
        <f>VLOOKUP(B22, Metadata!A:B, 2, FALSE)</f>
        <v>Sub-Saharan Africa</v>
      </c>
      <c r="BT22" s="3">
        <f>VLOOKUP(B18,Population!A:B,2,FALSE)*(1-BP18/100)</f>
        <v>0</v>
      </c>
    </row>
    <row r="23" hidden="1">
      <c r="A23" s="2" t="s">
        <v>74</v>
      </c>
      <c r="B23" s="2" t="s">
        <v>75</v>
      </c>
      <c r="C23" s="2" t="s">
        <v>4</v>
      </c>
      <c r="D23" s="2" t="s">
        <v>5</v>
      </c>
      <c r="AI23" s="2">
        <v>100.0</v>
      </c>
      <c r="AJ23" s="2">
        <v>100.0</v>
      </c>
      <c r="AK23" s="2">
        <v>100.0</v>
      </c>
      <c r="AL23" s="2">
        <v>100.0</v>
      </c>
      <c r="AM23" s="2">
        <v>100.0</v>
      </c>
      <c r="AN23" s="2">
        <v>100.0</v>
      </c>
      <c r="AO23" s="2">
        <v>100.0</v>
      </c>
      <c r="AP23" s="2">
        <v>100.0</v>
      </c>
      <c r="AQ23" s="2">
        <v>100.0</v>
      </c>
      <c r="AR23" s="2">
        <v>100.0</v>
      </c>
      <c r="AS23" s="2">
        <v>100.0</v>
      </c>
      <c r="AT23" s="2">
        <v>100.0</v>
      </c>
      <c r="AU23" s="2">
        <v>100.0</v>
      </c>
      <c r="AV23" s="2">
        <v>100.0</v>
      </c>
      <c r="AW23" s="2">
        <v>100.0</v>
      </c>
      <c r="AX23" s="2">
        <v>100.0</v>
      </c>
      <c r="AY23" s="2">
        <v>100.0</v>
      </c>
      <c r="AZ23" s="2">
        <v>100.0</v>
      </c>
      <c r="BA23" s="2">
        <v>100.0</v>
      </c>
      <c r="BB23" s="2">
        <v>100.0</v>
      </c>
      <c r="BC23" s="2">
        <v>100.0</v>
      </c>
      <c r="BD23" s="2">
        <v>100.0</v>
      </c>
      <c r="BE23" s="2">
        <v>100.0</v>
      </c>
      <c r="BF23" s="2">
        <v>100.0</v>
      </c>
      <c r="BG23" s="2">
        <v>100.0</v>
      </c>
      <c r="BH23" s="2">
        <v>100.0</v>
      </c>
      <c r="BI23" s="2">
        <v>100.0</v>
      </c>
      <c r="BJ23" s="2">
        <v>100.0</v>
      </c>
      <c r="BK23" s="2">
        <v>100.0</v>
      </c>
      <c r="BL23" s="2">
        <v>100.0</v>
      </c>
      <c r="BM23" s="2">
        <v>100.0</v>
      </c>
      <c r="BN23" s="2">
        <v>100.0</v>
      </c>
      <c r="BO23" s="2">
        <v>100.0</v>
      </c>
      <c r="BP23" s="2">
        <v>100.0</v>
      </c>
      <c r="BQ23" s="2">
        <v>100.0</v>
      </c>
      <c r="BS23" s="3" t="str">
        <f>VLOOKUP(B23, Metadata!A:B, 2, FALSE)</f>
        <v>Europe &amp; Central Asia</v>
      </c>
    </row>
    <row r="24">
      <c r="A24" s="2" t="s">
        <v>78</v>
      </c>
      <c r="B24" s="2" t="s">
        <v>79</v>
      </c>
      <c r="C24" s="2" t="s">
        <v>4</v>
      </c>
      <c r="D24" s="2" t="s">
        <v>5</v>
      </c>
      <c r="AO24" s="2">
        <v>14.5</v>
      </c>
      <c r="AP24" s="2">
        <v>18.5896263122559</v>
      </c>
      <c r="AQ24" s="2">
        <v>19.578254699707</v>
      </c>
      <c r="AR24" s="2">
        <v>20.5620422363281</v>
      </c>
      <c r="AS24" s="2">
        <v>21.5</v>
      </c>
      <c r="AT24" s="2">
        <v>21.9</v>
      </c>
      <c r="AU24" s="2">
        <v>23.4</v>
      </c>
      <c r="AV24" s="2">
        <v>24.3</v>
      </c>
      <c r="AW24" s="2">
        <v>25.2</v>
      </c>
      <c r="AX24" s="2">
        <v>26.1</v>
      </c>
      <c r="AY24" s="2">
        <v>27.9</v>
      </c>
      <c r="AZ24" s="2">
        <v>28.0</v>
      </c>
      <c r="BA24" s="2">
        <v>29.0</v>
      </c>
      <c r="BB24" s="2">
        <v>30.0</v>
      </c>
      <c r="BC24" s="2">
        <v>34.2</v>
      </c>
      <c r="BD24" s="2">
        <v>36.9</v>
      </c>
      <c r="BE24" s="2">
        <v>38.4</v>
      </c>
      <c r="BF24" s="2">
        <v>34.7</v>
      </c>
      <c r="BG24" s="2">
        <v>34.1</v>
      </c>
      <c r="BH24" s="2">
        <v>29.6</v>
      </c>
      <c r="BI24" s="2">
        <v>37.0</v>
      </c>
      <c r="BJ24" s="2">
        <v>34.5</v>
      </c>
      <c r="BK24" s="2">
        <v>39.0</v>
      </c>
      <c r="BL24" s="2">
        <v>40.0</v>
      </c>
      <c r="BM24" s="2">
        <v>41.0</v>
      </c>
      <c r="BN24" s="2">
        <v>42.0</v>
      </c>
      <c r="BO24" s="2">
        <v>56.5</v>
      </c>
      <c r="BP24" s="2">
        <v>57.0</v>
      </c>
      <c r="BQ24" s="2">
        <v>59.0</v>
      </c>
      <c r="BS24" s="3" t="str">
        <f>VLOOKUP(B24, Metadata!A:B, 2, FALSE)</f>
        <v>Sub-Saharan Africa</v>
      </c>
      <c r="BT24" s="3">
        <f>VLOOKUP(B20,Population!A:B,2,FALSE)*(1-BP20/100)</f>
        <v>0</v>
      </c>
    </row>
    <row r="25">
      <c r="A25" s="2" t="s">
        <v>66</v>
      </c>
      <c r="B25" s="2" t="s">
        <v>67</v>
      </c>
      <c r="C25" s="2" t="s">
        <v>4</v>
      </c>
      <c r="D25" s="2" t="s">
        <v>5</v>
      </c>
      <c r="AL25" s="2">
        <v>6.1</v>
      </c>
      <c r="AM25" s="2">
        <v>6.12501001358032</v>
      </c>
      <c r="AN25" s="2">
        <v>6.62533283233643</v>
      </c>
      <c r="AO25" s="2">
        <v>7.1229362487793</v>
      </c>
      <c r="AP25" s="2">
        <v>7.61713981628418</v>
      </c>
      <c r="AQ25" s="2">
        <v>8.10726451873779</v>
      </c>
      <c r="AR25" s="2">
        <v>6.9</v>
      </c>
      <c r="AS25" s="2">
        <v>9.1</v>
      </c>
      <c r="AT25" s="2">
        <v>9.5</v>
      </c>
      <c r="AU25" s="2">
        <v>9.9</v>
      </c>
      <c r="AV25" s="2">
        <v>11.4</v>
      </c>
      <c r="AW25" s="2">
        <v>10.7</v>
      </c>
      <c r="AX25" s="2">
        <v>11.1</v>
      </c>
      <c r="AY25" s="2">
        <v>11.6</v>
      </c>
      <c r="AZ25" s="2">
        <v>12.0</v>
      </c>
      <c r="BA25" s="2">
        <v>12.5</v>
      </c>
      <c r="BB25" s="2">
        <v>12.6</v>
      </c>
      <c r="BC25" s="2">
        <v>13.1</v>
      </c>
      <c r="BD25" s="2">
        <v>14.8</v>
      </c>
      <c r="BE25" s="2">
        <v>15.1</v>
      </c>
      <c r="BF25" s="2">
        <v>15.4</v>
      </c>
      <c r="BG25" s="2">
        <v>19.2</v>
      </c>
      <c r="BH25" s="2">
        <v>16.2</v>
      </c>
      <c r="BI25" s="2">
        <v>16.6</v>
      </c>
      <c r="BJ25" s="2">
        <v>17.0</v>
      </c>
      <c r="BK25" s="2">
        <v>14.4</v>
      </c>
      <c r="BL25" s="2">
        <v>17.6</v>
      </c>
      <c r="BM25" s="2">
        <v>18.5</v>
      </c>
      <c r="BN25" s="2">
        <v>19.0</v>
      </c>
      <c r="BO25" s="2">
        <v>19.5</v>
      </c>
      <c r="BP25" s="2">
        <v>21.7</v>
      </c>
      <c r="BQ25" s="2">
        <v>34.0</v>
      </c>
      <c r="BS25" s="3" t="str">
        <f>VLOOKUP(B25, Metadata!A:B, 2, FALSE)</f>
        <v>Sub-Saharan Africa</v>
      </c>
      <c r="BT25" s="3">
        <f>VLOOKUP(B21,Population!A:B,2,FALSE)*(1-BP21/100)</f>
        <v>0</v>
      </c>
    </row>
    <row r="26" hidden="1">
      <c r="A26" s="2" t="s">
        <v>88</v>
      </c>
      <c r="B26" s="2" t="s">
        <v>89</v>
      </c>
      <c r="C26" s="2" t="s">
        <v>4</v>
      </c>
      <c r="D26" s="2" t="s">
        <v>5</v>
      </c>
      <c r="AJ26" s="2">
        <v>14.29</v>
      </c>
      <c r="AK26" s="2">
        <v>9.90541934967041</v>
      </c>
      <c r="AL26" s="2">
        <v>12.7178802490234</v>
      </c>
      <c r="AM26" s="2">
        <v>17.8</v>
      </c>
      <c r="AN26" s="2">
        <v>18.3380451202393</v>
      </c>
      <c r="AO26" s="2">
        <v>21.1443862915039</v>
      </c>
      <c r="AP26" s="2">
        <v>22.4</v>
      </c>
      <c r="AQ26" s="2">
        <v>26.7461929321289</v>
      </c>
      <c r="AR26" s="2">
        <v>29.5402145385742</v>
      </c>
      <c r="AS26" s="2">
        <v>32.0</v>
      </c>
      <c r="AT26" s="2">
        <v>35.0</v>
      </c>
      <c r="AU26" s="2">
        <v>37.8</v>
      </c>
      <c r="AV26" s="2">
        <v>40.5</v>
      </c>
      <c r="AW26" s="2">
        <v>40.6</v>
      </c>
      <c r="AX26" s="2">
        <v>44.2</v>
      </c>
      <c r="AY26" s="2">
        <v>50.5</v>
      </c>
      <c r="AZ26" s="2">
        <v>46.5</v>
      </c>
      <c r="BA26" s="2">
        <v>54.3</v>
      </c>
      <c r="BB26" s="2">
        <v>57.1</v>
      </c>
      <c r="BC26" s="2">
        <v>55.3</v>
      </c>
      <c r="BD26" s="2">
        <v>59.6</v>
      </c>
      <c r="BE26" s="2">
        <v>65.5</v>
      </c>
      <c r="BF26" s="2">
        <v>61.5</v>
      </c>
      <c r="BG26" s="2">
        <v>62.4</v>
      </c>
      <c r="BH26" s="2">
        <v>74.0</v>
      </c>
      <c r="BI26" s="2">
        <v>75.9</v>
      </c>
      <c r="BJ26" s="2">
        <v>88.0</v>
      </c>
      <c r="BK26" s="2">
        <v>86.9</v>
      </c>
      <c r="BL26" s="2">
        <v>92.2</v>
      </c>
      <c r="BM26" s="2">
        <v>96.2</v>
      </c>
      <c r="BN26" s="2">
        <v>99.0</v>
      </c>
      <c r="BO26" s="2">
        <v>99.4</v>
      </c>
      <c r="BP26" s="2">
        <v>99.5</v>
      </c>
      <c r="BQ26" s="2">
        <v>99.5</v>
      </c>
      <c r="BS26" s="3" t="str">
        <f>VLOOKUP(B26, Metadata!A:B, 2, FALSE)</f>
        <v>South Asia</v>
      </c>
    </row>
    <row r="27" hidden="1">
      <c r="A27" s="2" t="s">
        <v>92</v>
      </c>
      <c r="B27" s="2" t="s">
        <v>93</v>
      </c>
      <c r="C27" s="2" t="s">
        <v>4</v>
      </c>
      <c r="D27" s="2" t="s">
        <v>5</v>
      </c>
      <c r="AI27" s="2">
        <v>100.0</v>
      </c>
      <c r="AJ27" s="2">
        <v>100.0</v>
      </c>
      <c r="AK27" s="2">
        <v>100.0</v>
      </c>
      <c r="AL27" s="2">
        <v>100.0</v>
      </c>
      <c r="AM27" s="2">
        <v>100.0</v>
      </c>
      <c r="AN27" s="2">
        <v>100.0</v>
      </c>
      <c r="AO27" s="2">
        <v>100.0</v>
      </c>
      <c r="AP27" s="2">
        <v>100.0</v>
      </c>
      <c r="AQ27" s="2">
        <v>100.0</v>
      </c>
      <c r="AR27" s="2">
        <v>100.0</v>
      </c>
      <c r="AS27" s="2">
        <v>88.1</v>
      </c>
      <c r="AT27" s="2">
        <v>88.6</v>
      </c>
      <c r="AU27" s="2">
        <v>89.1</v>
      </c>
      <c r="AV27" s="2">
        <v>89.6</v>
      </c>
      <c r="AW27" s="2">
        <v>90.1</v>
      </c>
      <c r="AX27" s="2">
        <v>90.6</v>
      </c>
      <c r="AY27" s="2">
        <v>91.2</v>
      </c>
      <c r="AZ27" s="2">
        <v>91.7</v>
      </c>
      <c r="BA27" s="2">
        <v>92.3</v>
      </c>
      <c r="BB27" s="2">
        <v>92.9</v>
      </c>
      <c r="BC27" s="2">
        <v>93.5</v>
      </c>
      <c r="BD27" s="2">
        <v>94.1</v>
      </c>
      <c r="BE27" s="2">
        <v>94.7</v>
      </c>
      <c r="BF27" s="2">
        <v>95.3</v>
      </c>
      <c r="BG27" s="2">
        <v>95.9</v>
      </c>
      <c r="BH27" s="2">
        <v>96.6</v>
      </c>
      <c r="BI27" s="2">
        <v>97.3</v>
      </c>
      <c r="BJ27" s="2">
        <v>98.1</v>
      </c>
      <c r="BK27" s="2">
        <v>98.7</v>
      </c>
      <c r="BL27" s="2">
        <v>99.2</v>
      </c>
      <c r="BM27" s="2">
        <v>99.7</v>
      </c>
      <c r="BN27" s="2">
        <v>99.8</v>
      </c>
      <c r="BO27" s="2">
        <v>100.0</v>
      </c>
      <c r="BP27" s="2">
        <v>100.0</v>
      </c>
      <c r="BQ27" s="2">
        <v>100.0</v>
      </c>
      <c r="BS27" s="3" t="str">
        <f>VLOOKUP(B27, Metadata!A:B, 2, FALSE)</f>
        <v>Europe &amp; Central Asia</v>
      </c>
    </row>
    <row r="28" hidden="1">
      <c r="A28" s="2" t="s">
        <v>96</v>
      </c>
      <c r="B28" s="2" t="s">
        <v>97</v>
      </c>
      <c r="C28" s="2" t="s">
        <v>4</v>
      </c>
      <c r="D28" s="2" t="s">
        <v>5</v>
      </c>
      <c r="AI28" s="2">
        <v>99.9413986206055</v>
      </c>
      <c r="AJ28" s="2">
        <v>99.9673919677734</v>
      </c>
      <c r="AK28" s="2">
        <v>99.9871826171875</v>
      </c>
      <c r="AL28" s="2">
        <v>99.9971389770508</v>
      </c>
      <c r="AM28" s="2">
        <v>99.9997711181641</v>
      </c>
      <c r="AN28" s="2">
        <v>100.0</v>
      </c>
      <c r="AO28" s="2">
        <v>100.0</v>
      </c>
      <c r="AP28" s="2">
        <v>100.0</v>
      </c>
      <c r="AQ28" s="2">
        <v>100.0</v>
      </c>
      <c r="AR28" s="2">
        <v>100.0</v>
      </c>
      <c r="AS28" s="2">
        <v>100.0</v>
      </c>
      <c r="AT28" s="2">
        <v>100.0</v>
      </c>
      <c r="AU28" s="2">
        <v>100.0</v>
      </c>
      <c r="AV28" s="2">
        <v>100.0</v>
      </c>
      <c r="AW28" s="2">
        <v>100.0</v>
      </c>
      <c r="AX28" s="2">
        <v>100.0</v>
      </c>
      <c r="AY28" s="2">
        <v>100.0</v>
      </c>
      <c r="AZ28" s="2">
        <v>100.0</v>
      </c>
      <c r="BA28" s="2">
        <v>100.0</v>
      </c>
      <c r="BB28" s="2">
        <v>100.0</v>
      </c>
      <c r="BC28" s="2">
        <v>100.0</v>
      </c>
      <c r="BD28" s="2">
        <v>100.0</v>
      </c>
      <c r="BE28" s="2">
        <v>100.0</v>
      </c>
      <c r="BF28" s="2">
        <v>100.0</v>
      </c>
      <c r="BG28" s="2">
        <v>100.0</v>
      </c>
      <c r="BH28" s="2">
        <v>100.0</v>
      </c>
      <c r="BI28" s="2">
        <v>100.0</v>
      </c>
      <c r="BJ28" s="2">
        <v>100.0</v>
      </c>
      <c r="BK28" s="2">
        <v>100.0</v>
      </c>
      <c r="BL28" s="2">
        <v>100.0</v>
      </c>
      <c r="BM28" s="2">
        <v>100.0</v>
      </c>
      <c r="BN28" s="2">
        <v>100.0</v>
      </c>
      <c r="BO28" s="2">
        <v>100.0</v>
      </c>
      <c r="BP28" s="2">
        <v>100.0</v>
      </c>
      <c r="BQ28" s="2">
        <v>100.0</v>
      </c>
      <c r="BS28" s="3" t="str">
        <f>VLOOKUP(B28, Metadata!A:B, 2, FALSE)</f>
        <v>Middle East &amp; North Africa</v>
      </c>
    </row>
    <row r="29" hidden="1">
      <c r="A29" s="2" t="s">
        <v>100</v>
      </c>
      <c r="B29" s="2" t="s">
        <v>101</v>
      </c>
      <c r="C29" s="2" t="s">
        <v>4</v>
      </c>
      <c r="D29" s="2" t="s">
        <v>5</v>
      </c>
      <c r="AI29" s="2">
        <v>100.0</v>
      </c>
      <c r="AJ29" s="2">
        <v>100.0</v>
      </c>
      <c r="AK29" s="2">
        <v>100.0</v>
      </c>
      <c r="AL29" s="2">
        <v>100.0</v>
      </c>
      <c r="AM29" s="2">
        <v>100.0</v>
      </c>
      <c r="AN29" s="2">
        <v>100.0</v>
      </c>
      <c r="AO29" s="2">
        <v>100.0</v>
      </c>
      <c r="AP29" s="2">
        <v>100.0</v>
      </c>
      <c r="AQ29" s="2">
        <v>100.0</v>
      </c>
      <c r="AR29" s="2">
        <v>100.0</v>
      </c>
      <c r="AS29" s="2">
        <v>100.0</v>
      </c>
      <c r="AT29" s="2">
        <v>100.0</v>
      </c>
      <c r="AU29" s="2">
        <v>100.0</v>
      </c>
      <c r="AV29" s="2">
        <v>100.0</v>
      </c>
      <c r="AW29" s="2">
        <v>100.0</v>
      </c>
      <c r="AX29" s="2">
        <v>100.0</v>
      </c>
      <c r="AY29" s="2">
        <v>100.0</v>
      </c>
      <c r="AZ29" s="2">
        <v>100.0</v>
      </c>
      <c r="BA29" s="2">
        <v>100.0</v>
      </c>
      <c r="BB29" s="2">
        <v>100.0</v>
      </c>
      <c r="BC29" s="2">
        <v>100.0</v>
      </c>
      <c r="BD29" s="2">
        <v>100.0</v>
      </c>
      <c r="BE29" s="2">
        <v>100.0</v>
      </c>
      <c r="BF29" s="2">
        <v>100.0</v>
      </c>
      <c r="BG29" s="2">
        <v>100.0</v>
      </c>
      <c r="BH29" s="2">
        <v>100.0</v>
      </c>
      <c r="BI29" s="2">
        <v>100.0</v>
      </c>
      <c r="BJ29" s="2">
        <v>100.0</v>
      </c>
      <c r="BK29" s="2">
        <v>100.0</v>
      </c>
      <c r="BL29" s="2">
        <v>100.0</v>
      </c>
      <c r="BM29" s="2">
        <v>100.0</v>
      </c>
      <c r="BN29" s="2">
        <v>100.0</v>
      </c>
      <c r="BO29" s="2">
        <v>100.0</v>
      </c>
      <c r="BP29" s="2">
        <v>100.0</v>
      </c>
      <c r="BQ29" s="2">
        <v>100.0</v>
      </c>
      <c r="BS29" s="3" t="str">
        <f>VLOOKUP(B29, Metadata!A:B, 2, FALSE)</f>
        <v>Latin America &amp; Caribbean</v>
      </c>
    </row>
    <row r="30" hidden="1">
      <c r="A30" s="2" t="s">
        <v>102</v>
      </c>
      <c r="B30" s="2" t="s">
        <v>103</v>
      </c>
      <c r="C30" s="2" t="s">
        <v>4</v>
      </c>
      <c r="D30" s="2" t="s">
        <v>5</v>
      </c>
      <c r="AI30" s="2">
        <v>100.0</v>
      </c>
      <c r="AJ30" s="2">
        <v>100.0</v>
      </c>
      <c r="AK30" s="2">
        <v>100.0</v>
      </c>
      <c r="AL30" s="2">
        <v>100.0</v>
      </c>
      <c r="AM30" s="2">
        <v>100.0</v>
      </c>
      <c r="AN30" s="2">
        <v>100.0</v>
      </c>
      <c r="AO30" s="2">
        <v>100.0</v>
      </c>
      <c r="AP30" s="2">
        <v>100.0</v>
      </c>
      <c r="AQ30" s="2">
        <v>100.0</v>
      </c>
      <c r="AR30" s="2">
        <v>100.0</v>
      </c>
      <c r="AS30" s="2">
        <v>99.0</v>
      </c>
      <c r="AT30" s="2">
        <v>99.4</v>
      </c>
      <c r="AU30" s="2">
        <v>98.5</v>
      </c>
      <c r="AV30" s="2">
        <v>99.0</v>
      </c>
      <c r="AW30" s="2">
        <v>99.1</v>
      </c>
      <c r="AX30" s="2">
        <v>99.1</v>
      </c>
      <c r="AY30" s="2">
        <v>99.4</v>
      </c>
      <c r="AZ30" s="2">
        <v>99.7</v>
      </c>
      <c r="BA30" s="2">
        <v>99.3</v>
      </c>
      <c r="BB30" s="2">
        <v>99.4</v>
      </c>
      <c r="BC30" s="2">
        <v>99.5</v>
      </c>
      <c r="BD30" s="2">
        <v>99.7</v>
      </c>
      <c r="BE30" s="2">
        <v>99.7</v>
      </c>
      <c r="BF30" s="2">
        <v>99.5</v>
      </c>
      <c r="BG30" s="2">
        <v>99.9</v>
      </c>
      <c r="BH30" s="2">
        <v>99.7</v>
      </c>
      <c r="BI30" s="2">
        <v>100.0</v>
      </c>
      <c r="BJ30" s="2">
        <v>100.0</v>
      </c>
      <c r="BK30" s="2">
        <v>100.0</v>
      </c>
      <c r="BL30" s="2">
        <v>100.0</v>
      </c>
      <c r="BM30" s="2">
        <v>100.0</v>
      </c>
      <c r="BN30" s="2">
        <v>100.0</v>
      </c>
      <c r="BO30" s="2">
        <v>100.0</v>
      </c>
      <c r="BP30" s="2">
        <v>100.0</v>
      </c>
      <c r="BQ30" s="2">
        <v>100.0</v>
      </c>
      <c r="BS30" s="3" t="str">
        <f>VLOOKUP(B30, Metadata!A:B, 2, FALSE)</f>
        <v>Europe &amp; Central Asia</v>
      </c>
    </row>
    <row r="31" hidden="1">
      <c r="A31" s="2" t="s">
        <v>106</v>
      </c>
      <c r="B31" s="2" t="s">
        <v>107</v>
      </c>
      <c r="C31" s="2" t="s">
        <v>4</v>
      </c>
      <c r="D31" s="2" t="s">
        <v>5</v>
      </c>
      <c r="AI31" s="2">
        <v>100.0</v>
      </c>
      <c r="AJ31" s="2">
        <v>100.0</v>
      </c>
      <c r="AK31" s="2">
        <v>100.0</v>
      </c>
      <c r="AL31" s="2">
        <v>100.0</v>
      </c>
      <c r="AM31" s="2">
        <v>100.0</v>
      </c>
      <c r="AN31" s="2">
        <v>100.0</v>
      </c>
      <c r="AO31" s="2">
        <v>100.0</v>
      </c>
      <c r="AP31" s="2">
        <v>100.0</v>
      </c>
      <c r="AQ31" s="2">
        <v>100.0</v>
      </c>
      <c r="AR31" s="2">
        <v>100.0</v>
      </c>
      <c r="AS31" s="2">
        <v>89.0</v>
      </c>
      <c r="AT31" s="2">
        <v>89.5</v>
      </c>
      <c r="AU31" s="2">
        <v>90.0</v>
      </c>
      <c r="AV31" s="2">
        <v>90.5</v>
      </c>
      <c r="AW31" s="2">
        <v>91.0</v>
      </c>
      <c r="AX31" s="2">
        <v>91.5</v>
      </c>
      <c r="AY31" s="2">
        <v>92.1</v>
      </c>
      <c r="AZ31" s="2">
        <v>92.6</v>
      </c>
      <c r="BA31" s="2">
        <v>93.2</v>
      </c>
      <c r="BB31" s="2">
        <v>93.8</v>
      </c>
      <c r="BC31" s="2">
        <v>94.4</v>
      </c>
      <c r="BD31" s="2">
        <v>95.0</v>
      </c>
      <c r="BE31" s="2">
        <v>95.6</v>
      </c>
      <c r="BF31" s="2">
        <v>96.2</v>
      </c>
      <c r="BG31" s="2">
        <v>96.8</v>
      </c>
      <c r="BH31" s="2">
        <v>97.4</v>
      </c>
      <c r="BI31" s="2">
        <v>98.0</v>
      </c>
      <c r="BJ31" s="2">
        <v>98.7</v>
      </c>
      <c r="BK31" s="2">
        <v>99.3</v>
      </c>
      <c r="BL31" s="2">
        <v>100.0</v>
      </c>
      <c r="BM31" s="2">
        <v>100.0</v>
      </c>
      <c r="BN31" s="2">
        <v>100.0</v>
      </c>
      <c r="BO31" s="2">
        <v>100.0</v>
      </c>
      <c r="BP31" s="2">
        <v>100.0</v>
      </c>
      <c r="BQ31" s="2">
        <v>100.0</v>
      </c>
      <c r="BS31" s="3" t="str">
        <f>VLOOKUP(B31, Metadata!A:B, 2, FALSE)</f>
        <v>Europe &amp; Central Asia</v>
      </c>
    </row>
    <row r="32" hidden="1">
      <c r="A32" s="2" t="s">
        <v>110</v>
      </c>
      <c r="B32" s="2" t="s">
        <v>111</v>
      </c>
      <c r="C32" s="2" t="s">
        <v>4</v>
      </c>
      <c r="D32" s="2" t="s">
        <v>5</v>
      </c>
      <c r="AJ32" s="2">
        <v>67.0</v>
      </c>
      <c r="AK32" s="2">
        <v>72.2249145507813</v>
      </c>
      <c r="AL32" s="2">
        <v>73.1233291625977</v>
      </c>
      <c r="AM32" s="2">
        <v>74.0203857421875</v>
      </c>
      <c r="AN32" s="2">
        <v>74.915397644043</v>
      </c>
      <c r="AO32" s="2">
        <v>75.8076934814453</v>
      </c>
      <c r="AP32" s="2">
        <v>76.6965866088867</v>
      </c>
      <c r="AQ32" s="2">
        <v>77.5814056396484</v>
      </c>
      <c r="AR32" s="2">
        <v>78.4613800048828</v>
      </c>
      <c r="AS32" s="2">
        <v>79.0</v>
      </c>
      <c r="AT32" s="2">
        <v>80.2</v>
      </c>
      <c r="AU32" s="2">
        <v>81.0</v>
      </c>
      <c r="AV32" s="2">
        <v>81.8</v>
      </c>
      <c r="AW32" s="2">
        <v>82.6</v>
      </c>
      <c r="AX32" s="2">
        <v>83.5</v>
      </c>
      <c r="AY32" s="2">
        <v>91.0</v>
      </c>
      <c r="AZ32" s="2">
        <v>85.2</v>
      </c>
      <c r="BA32" s="2">
        <v>86.1</v>
      </c>
      <c r="BB32" s="2">
        <v>86.9</v>
      </c>
      <c r="BC32" s="2">
        <v>89.9</v>
      </c>
      <c r="BD32" s="2">
        <v>91.7</v>
      </c>
      <c r="BE32" s="2">
        <v>90.9</v>
      </c>
      <c r="BF32" s="2">
        <v>91.1</v>
      </c>
      <c r="BG32" s="2">
        <v>91.5</v>
      </c>
      <c r="BH32" s="2">
        <v>91.8</v>
      </c>
      <c r="BI32" s="2">
        <v>93.3</v>
      </c>
      <c r="BJ32" s="2">
        <v>94.2</v>
      </c>
      <c r="BK32" s="2">
        <v>91.7</v>
      </c>
      <c r="BL32" s="2">
        <v>92.7</v>
      </c>
      <c r="BM32" s="2">
        <v>96.8</v>
      </c>
      <c r="BN32" s="2">
        <v>97.7</v>
      </c>
      <c r="BO32" s="2">
        <v>98.6</v>
      </c>
      <c r="BP32" s="2">
        <v>99.6</v>
      </c>
      <c r="BQ32" s="2">
        <v>99.6</v>
      </c>
      <c r="BS32" s="3" t="str">
        <f>VLOOKUP(B32, Metadata!A:B, 2, FALSE)</f>
        <v>Latin America &amp; Caribbean</v>
      </c>
    </row>
    <row r="33" hidden="1">
      <c r="A33" s="2" t="s">
        <v>114</v>
      </c>
      <c r="B33" s="2" t="s">
        <v>115</v>
      </c>
      <c r="C33" s="2" t="s">
        <v>4</v>
      </c>
      <c r="D33" s="2" t="s">
        <v>5</v>
      </c>
      <c r="AI33" s="2">
        <v>100.0</v>
      </c>
      <c r="AJ33" s="2">
        <v>100.0</v>
      </c>
      <c r="AK33" s="2">
        <v>100.0</v>
      </c>
      <c r="AL33" s="2">
        <v>100.0</v>
      </c>
      <c r="AM33" s="2">
        <v>100.0</v>
      </c>
      <c r="AN33" s="2">
        <v>100.0</v>
      </c>
      <c r="AO33" s="2">
        <v>100.0</v>
      </c>
      <c r="AP33" s="2">
        <v>100.0</v>
      </c>
      <c r="AQ33" s="2">
        <v>100.0</v>
      </c>
      <c r="AR33" s="2">
        <v>100.0</v>
      </c>
      <c r="AS33" s="2">
        <v>100.0</v>
      </c>
      <c r="AT33" s="2">
        <v>100.0</v>
      </c>
      <c r="AU33" s="2">
        <v>100.0</v>
      </c>
      <c r="AV33" s="2">
        <v>100.0</v>
      </c>
      <c r="AW33" s="2">
        <v>100.0</v>
      </c>
      <c r="AX33" s="2">
        <v>100.0</v>
      </c>
      <c r="AY33" s="2">
        <v>100.0</v>
      </c>
      <c r="AZ33" s="2">
        <v>100.0</v>
      </c>
      <c r="BA33" s="2">
        <v>100.0</v>
      </c>
      <c r="BB33" s="2">
        <v>100.0</v>
      </c>
      <c r="BC33" s="2">
        <v>100.0</v>
      </c>
      <c r="BD33" s="2">
        <v>100.0</v>
      </c>
      <c r="BE33" s="2">
        <v>100.0</v>
      </c>
      <c r="BF33" s="2">
        <v>100.0</v>
      </c>
      <c r="BG33" s="2">
        <v>100.0</v>
      </c>
      <c r="BH33" s="2">
        <v>100.0</v>
      </c>
      <c r="BI33" s="2">
        <v>100.0</v>
      </c>
      <c r="BJ33" s="2">
        <v>100.0</v>
      </c>
      <c r="BK33" s="2">
        <v>100.0</v>
      </c>
      <c r="BL33" s="2">
        <v>100.0</v>
      </c>
      <c r="BM33" s="2">
        <v>100.0</v>
      </c>
      <c r="BN33" s="2">
        <v>100.0</v>
      </c>
      <c r="BO33" s="2">
        <v>100.0</v>
      </c>
      <c r="BP33" s="2">
        <v>100.0</v>
      </c>
      <c r="BQ33" s="2">
        <v>100.0</v>
      </c>
      <c r="BS33" s="3" t="str">
        <f>VLOOKUP(B33, Metadata!A:B, 2, FALSE)</f>
        <v>North America</v>
      </c>
    </row>
    <row r="34" hidden="1">
      <c r="A34" s="2" t="s">
        <v>118</v>
      </c>
      <c r="B34" s="2" t="s">
        <v>119</v>
      </c>
      <c r="C34" s="2" t="s">
        <v>4</v>
      </c>
      <c r="D34" s="2" t="s">
        <v>5</v>
      </c>
      <c r="AK34" s="2">
        <v>60.0279006958008</v>
      </c>
      <c r="AL34" s="2">
        <v>61.3840293884277</v>
      </c>
      <c r="AM34" s="2">
        <v>64.1</v>
      </c>
      <c r="AN34" s="2">
        <v>64.0915298461914</v>
      </c>
      <c r="AO34" s="2">
        <v>71.0</v>
      </c>
      <c r="AP34" s="2">
        <v>67.330431</v>
      </c>
      <c r="AQ34" s="2">
        <v>71.2</v>
      </c>
      <c r="AR34" s="2">
        <v>70.929888</v>
      </c>
      <c r="AS34" s="2">
        <v>70.0</v>
      </c>
      <c r="AT34" s="2">
        <v>69.3</v>
      </c>
      <c r="AU34" s="2">
        <v>64.0</v>
      </c>
      <c r="AV34" s="2">
        <v>72.3</v>
      </c>
      <c r="AW34" s="2">
        <v>75.9</v>
      </c>
      <c r="AX34" s="2">
        <v>68.3</v>
      </c>
      <c r="AY34" s="2">
        <v>76.2</v>
      </c>
      <c r="AZ34" s="2">
        <v>80.2</v>
      </c>
      <c r="BA34" s="2">
        <v>84.7</v>
      </c>
      <c r="BB34" s="2">
        <v>86.8</v>
      </c>
      <c r="BC34" s="2">
        <v>88.0</v>
      </c>
      <c r="BD34" s="2">
        <v>88.3</v>
      </c>
      <c r="BE34" s="2">
        <v>90.4</v>
      </c>
      <c r="BF34" s="2">
        <v>89.5</v>
      </c>
      <c r="BG34" s="2">
        <v>90.0</v>
      </c>
      <c r="BH34" s="2">
        <v>91.5</v>
      </c>
      <c r="BI34" s="2">
        <v>91.8</v>
      </c>
      <c r="BJ34" s="2">
        <v>91.8</v>
      </c>
      <c r="BK34" s="2">
        <v>92.8</v>
      </c>
      <c r="BL34" s="2">
        <v>95.1</v>
      </c>
      <c r="BM34" s="2">
        <v>97.2</v>
      </c>
      <c r="BN34" s="2">
        <v>98.6</v>
      </c>
      <c r="BO34" s="2">
        <v>99.9</v>
      </c>
      <c r="BP34" s="2">
        <v>99.8</v>
      </c>
      <c r="BQ34" s="2">
        <v>96.6</v>
      </c>
      <c r="BS34" s="3" t="str">
        <f>VLOOKUP(B34, Metadata!A:B, 2, FALSE)</f>
        <v>Latin America &amp; Caribbean</v>
      </c>
    </row>
    <row r="35" hidden="1">
      <c r="A35" s="2" t="s">
        <v>122</v>
      </c>
      <c r="B35" s="2" t="s">
        <v>123</v>
      </c>
      <c r="C35" s="2" t="s">
        <v>4</v>
      </c>
      <c r="D35" s="2" t="s">
        <v>5</v>
      </c>
      <c r="AI35" s="2">
        <v>87.475116</v>
      </c>
      <c r="AJ35" s="2">
        <v>90.6065444946289</v>
      </c>
      <c r="AK35" s="2">
        <v>88.803833</v>
      </c>
      <c r="AL35" s="2">
        <v>89.999927</v>
      </c>
      <c r="AM35" s="2">
        <v>91.8837280273438</v>
      </c>
      <c r="AN35" s="2">
        <v>91.728598</v>
      </c>
      <c r="AO35" s="2">
        <v>92.867095</v>
      </c>
      <c r="AP35" s="2">
        <v>93.354139</v>
      </c>
      <c r="AQ35" s="2">
        <v>94.193812</v>
      </c>
      <c r="AR35" s="2">
        <v>94.76296</v>
      </c>
      <c r="AS35" s="2">
        <v>94.4</v>
      </c>
      <c r="AT35" s="2">
        <v>96.0</v>
      </c>
      <c r="AU35" s="2">
        <v>96.7</v>
      </c>
      <c r="AV35" s="2">
        <v>97.0</v>
      </c>
      <c r="AW35" s="2">
        <v>96.8</v>
      </c>
      <c r="AX35" s="2">
        <v>97.1</v>
      </c>
      <c r="AY35" s="2">
        <v>97.6</v>
      </c>
      <c r="AZ35" s="2">
        <v>98.1</v>
      </c>
      <c r="BA35" s="2">
        <v>98.5</v>
      </c>
      <c r="BB35" s="2">
        <v>98.9</v>
      </c>
      <c r="BC35" s="2">
        <v>98.6</v>
      </c>
      <c r="BD35" s="2">
        <v>99.3</v>
      </c>
      <c r="BE35" s="2">
        <v>99.5</v>
      </c>
      <c r="BF35" s="2">
        <v>99.6</v>
      </c>
      <c r="BG35" s="2">
        <v>99.7</v>
      </c>
      <c r="BH35" s="2">
        <v>99.7</v>
      </c>
      <c r="BI35" s="2">
        <v>99.7</v>
      </c>
      <c r="BJ35" s="2">
        <v>99.8</v>
      </c>
      <c r="BK35" s="2">
        <v>99.7</v>
      </c>
      <c r="BL35" s="2">
        <v>99.8</v>
      </c>
      <c r="BM35" s="2">
        <v>99.7</v>
      </c>
      <c r="BN35" s="2">
        <v>99.5</v>
      </c>
      <c r="BO35" s="2">
        <v>100.0</v>
      </c>
      <c r="BP35" s="2">
        <v>99.8</v>
      </c>
      <c r="BQ35" s="2">
        <v>99.8</v>
      </c>
      <c r="BS35" s="3" t="str">
        <f>VLOOKUP(B35, Metadata!A:B, 2, FALSE)</f>
        <v>Latin America &amp; Caribbean</v>
      </c>
    </row>
    <row r="36" hidden="1">
      <c r="A36" s="2" t="s">
        <v>126</v>
      </c>
      <c r="B36" s="2" t="s">
        <v>127</v>
      </c>
      <c r="C36" s="2" t="s">
        <v>4</v>
      </c>
      <c r="D36" s="2" t="s">
        <v>5</v>
      </c>
      <c r="AI36" s="2">
        <v>99.9842529296875</v>
      </c>
      <c r="AJ36" s="2">
        <v>99.9934387207031</v>
      </c>
      <c r="AK36" s="2">
        <v>99.9986877441406</v>
      </c>
      <c r="AL36" s="2">
        <v>100.0</v>
      </c>
      <c r="AM36" s="2">
        <v>100.0</v>
      </c>
      <c r="AN36" s="2">
        <v>100.0</v>
      </c>
      <c r="AO36" s="2">
        <v>100.0</v>
      </c>
      <c r="AP36" s="2">
        <v>100.0</v>
      </c>
      <c r="AQ36" s="2">
        <v>100.0</v>
      </c>
      <c r="AR36" s="2">
        <v>100.0</v>
      </c>
      <c r="AS36" s="2">
        <v>100.0</v>
      </c>
      <c r="AT36" s="2">
        <v>100.0</v>
      </c>
      <c r="AU36" s="2">
        <v>100.0</v>
      </c>
      <c r="AV36" s="2">
        <v>100.0</v>
      </c>
      <c r="AW36" s="2">
        <v>99.9</v>
      </c>
      <c r="AX36" s="2">
        <v>99.9</v>
      </c>
      <c r="AY36" s="2">
        <v>100.0</v>
      </c>
      <c r="AZ36" s="2">
        <v>100.0</v>
      </c>
      <c r="BA36" s="2">
        <v>100.0</v>
      </c>
      <c r="BB36" s="2">
        <v>100.0</v>
      </c>
      <c r="BC36" s="2">
        <v>100.0</v>
      </c>
      <c r="BD36" s="2">
        <v>100.0</v>
      </c>
      <c r="BE36" s="2">
        <v>100.0</v>
      </c>
      <c r="BF36" s="2">
        <v>100.0</v>
      </c>
      <c r="BG36" s="2">
        <v>100.0</v>
      </c>
      <c r="BH36" s="2">
        <v>100.0</v>
      </c>
      <c r="BI36" s="2">
        <v>100.0</v>
      </c>
      <c r="BJ36" s="2">
        <v>100.0</v>
      </c>
      <c r="BK36" s="2">
        <v>100.0</v>
      </c>
      <c r="BL36" s="2">
        <v>100.0</v>
      </c>
      <c r="BM36" s="2">
        <v>100.0</v>
      </c>
      <c r="BN36" s="2">
        <v>100.0</v>
      </c>
      <c r="BO36" s="2">
        <v>100.0</v>
      </c>
      <c r="BP36" s="2">
        <v>100.0</v>
      </c>
      <c r="BQ36" s="2">
        <v>100.0</v>
      </c>
      <c r="BS36" s="3" t="str">
        <f>VLOOKUP(B36, Metadata!A:B, 2, FALSE)</f>
        <v>Latin America &amp; Caribbean</v>
      </c>
    </row>
    <row r="37" hidden="1">
      <c r="A37" s="2" t="s">
        <v>130</v>
      </c>
      <c r="B37" s="2" t="s">
        <v>131</v>
      </c>
      <c r="C37" s="2" t="s">
        <v>4</v>
      </c>
      <c r="D37" s="2" t="s">
        <v>5</v>
      </c>
      <c r="AI37" s="2">
        <v>100.0</v>
      </c>
      <c r="AJ37" s="2">
        <v>100.0</v>
      </c>
      <c r="AK37" s="2">
        <v>100.0</v>
      </c>
      <c r="AL37" s="2">
        <v>100.0</v>
      </c>
      <c r="AM37" s="2">
        <v>100.0</v>
      </c>
      <c r="AN37" s="2">
        <v>100.0</v>
      </c>
      <c r="AO37" s="2">
        <v>100.0</v>
      </c>
      <c r="AP37" s="2">
        <v>100.0</v>
      </c>
      <c r="AQ37" s="2">
        <v>100.0</v>
      </c>
      <c r="AR37" s="2">
        <v>100.0</v>
      </c>
      <c r="AS37" s="2">
        <v>100.0</v>
      </c>
      <c r="AT37" s="2">
        <v>100.0</v>
      </c>
      <c r="AU37" s="2">
        <v>100.0</v>
      </c>
      <c r="AV37" s="2">
        <v>100.0</v>
      </c>
      <c r="AW37" s="2">
        <v>100.0</v>
      </c>
      <c r="AX37" s="2">
        <v>100.0</v>
      </c>
      <c r="AY37" s="2">
        <v>100.0</v>
      </c>
      <c r="AZ37" s="2">
        <v>100.0</v>
      </c>
      <c r="BA37" s="2">
        <v>100.0</v>
      </c>
      <c r="BB37" s="2">
        <v>100.0</v>
      </c>
      <c r="BC37" s="2">
        <v>100.0</v>
      </c>
      <c r="BD37" s="2">
        <v>100.0</v>
      </c>
      <c r="BE37" s="2">
        <v>100.0</v>
      </c>
      <c r="BF37" s="2">
        <v>100.0</v>
      </c>
      <c r="BG37" s="2">
        <v>100.0</v>
      </c>
      <c r="BH37" s="2">
        <v>100.0</v>
      </c>
      <c r="BI37" s="2">
        <v>100.0</v>
      </c>
      <c r="BJ37" s="2">
        <v>100.0</v>
      </c>
      <c r="BK37" s="2">
        <v>100.0</v>
      </c>
      <c r="BL37" s="2">
        <v>100.0</v>
      </c>
      <c r="BM37" s="2">
        <v>100.0</v>
      </c>
      <c r="BN37" s="2">
        <v>100.0</v>
      </c>
      <c r="BO37" s="2">
        <v>100.0</v>
      </c>
      <c r="BP37" s="2">
        <v>100.0</v>
      </c>
      <c r="BQ37" s="2">
        <v>100.0</v>
      </c>
      <c r="BS37" s="3" t="str">
        <f>VLOOKUP(B37, Metadata!A:B, 2, FALSE)</f>
        <v>East Asia &amp; Pacific</v>
      </c>
    </row>
    <row r="38" hidden="1">
      <c r="A38" s="2" t="s">
        <v>134</v>
      </c>
      <c r="B38" s="2" t="s">
        <v>135</v>
      </c>
      <c r="C38" s="2" t="s">
        <v>4</v>
      </c>
      <c r="D38" s="2" t="s">
        <v>5</v>
      </c>
      <c r="AS38" s="2">
        <v>31.1</v>
      </c>
      <c r="AT38" s="2">
        <v>40.2</v>
      </c>
      <c r="AU38" s="2">
        <v>44.1</v>
      </c>
      <c r="AV38" s="2">
        <v>41.1</v>
      </c>
      <c r="AW38" s="2">
        <v>51.9</v>
      </c>
      <c r="AX38" s="2">
        <v>59.8</v>
      </c>
      <c r="AY38" s="2">
        <v>59.7</v>
      </c>
      <c r="AZ38" s="2">
        <v>71.8</v>
      </c>
      <c r="BA38" s="2">
        <v>67.6</v>
      </c>
      <c r="BB38" s="2">
        <v>71.5</v>
      </c>
      <c r="BC38" s="2">
        <v>73.3</v>
      </c>
      <c r="BD38" s="2">
        <v>81.8</v>
      </c>
      <c r="BE38" s="2">
        <v>91.5</v>
      </c>
      <c r="BF38" s="2">
        <v>87.4</v>
      </c>
      <c r="BG38" s="2">
        <v>91.4</v>
      </c>
      <c r="BH38" s="2">
        <v>95.4</v>
      </c>
      <c r="BI38" s="2">
        <v>99.3</v>
      </c>
      <c r="BJ38" s="2">
        <v>97.7</v>
      </c>
      <c r="BK38" s="2">
        <v>100.0</v>
      </c>
      <c r="BL38" s="2">
        <v>100.0</v>
      </c>
      <c r="BM38" s="2">
        <v>100.0</v>
      </c>
      <c r="BN38" s="2">
        <v>100.0</v>
      </c>
      <c r="BO38" s="2">
        <v>100.0</v>
      </c>
      <c r="BP38" s="2">
        <v>100.0</v>
      </c>
      <c r="BQ38" s="2">
        <v>100.0</v>
      </c>
      <c r="BS38" s="3" t="str">
        <f>VLOOKUP(B38, Metadata!A:B, 2, FALSE)</f>
        <v>South Asia</v>
      </c>
    </row>
    <row r="39">
      <c r="A39" s="2" t="s">
        <v>138</v>
      </c>
      <c r="B39" s="2" t="s">
        <v>139</v>
      </c>
      <c r="C39" s="2" t="s">
        <v>4</v>
      </c>
      <c r="D39" s="2" t="s">
        <v>5</v>
      </c>
      <c r="AJ39" s="2">
        <v>10.1</v>
      </c>
      <c r="AK39" s="2">
        <v>9.39822673797607</v>
      </c>
      <c r="AL39" s="2">
        <v>11.6420764923096</v>
      </c>
      <c r="AM39" s="2">
        <v>13.8845663070679</v>
      </c>
      <c r="AN39" s="2">
        <v>16.1250171661377</v>
      </c>
      <c r="AO39" s="2">
        <v>18.3627471923828</v>
      </c>
      <c r="AP39" s="2">
        <v>20.5970783233643</v>
      </c>
      <c r="AQ39" s="2">
        <v>22.8273296356201</v>
      </c>
      <c r="AR39" s="2">
        <v>25.0527400970459</v>
      </c>
      <c r="AS39" s="2">
        <v>26.5</v>
      </c>
      <c r="AT39" s="2">
        <v>24.8</v>
      </c>
      <c r="AU39" s="2">
        <v>27.0</v>
      </c>
      <c r="AV39" s="2">
        <v>33.1</v>
      </c>
      <c r="AW39" s="2">
        <v>35.3</v>
      </c>
      <c r="AX39" s="2">
        <v>37.5</v>
      </c>
      <c r="AY39" s="2">
        <v>39.7</v>
      </c>
      <c r="AZ39" s="2">
        <v>41.9</v>
      </c>
      <c r="BA39" s="2">
        <v>44.5</v>
      </c>
      <c r="BB39" s="2">
        <v>43.4</v>
      </c>
      <c r="BC39" s="2">
        <v>52.0</v>
      </c>
      <c r="BD39" s="2">
        <v>53.2</v>
      </c>
      <c r="BE39" s="2">
        <v>56.0</v>
      </c>
      <c r="BF39" s="2">
        <v>58.0</v>
      </c>
      <c r="BG39" s="2">
        <v>60.0</v>
      </c>
      <c r="BH39" s="2">
        <v>62.1</v>
      </c>
      <c r="BI39" s="2">
        <v>64.2</v>
      </c>
      <c r="BJ39" s="2">
        <v>67.4</v>
      </c>
      <c r="BK39" s="2">
        <v>68.3</v>
      </c>
      <c r="BL39" s="2">
        <v>70.1</v>
      </c>
      <c r="BM39" s="2">
        <v>71.8</v>
      </c>
      <c r="BN39" s="2">
        <v>73.7</v>
      </c>
      <c r="BO39" s="2">
        <v>75.9</v>
      </c>
      <c r="BP39" s="2">
        <v>76.0</v>
      </c>
      <c r="BQ39" s="2">
        <v>80.2</v>
      </c>
      <c r="BS39" s="3" t="str">
        <f>VLOOKUP(B39, Metadata!A:B, 2, FALSE)</f>
        <v>Sub-Saharan Africa</v>
      </c>
      <c r="BT39" s="3">
        <f>VLOOKUP(B35,Population!A:B,2,FALSE)*(1-BP35/100)</f>
        <v>422281.458</v>
      </c>
    </row>
    <row r="40">
      <c r="A40" s="2" t="s">
        <v>80</v>
      </c>
      <c r="B40" s="2" t="s">
        <v>81</v>
      </c>
      <c r="C40" s="2" t="s">
        <v>4</v>
      </c>
      <c r="D40" s="2" t="s">
        <v>5</v>
      </c>
      <c r="AN40" s="2">
        <v>3.0</v>
      </c>
      <c r="AO40" s="2">
        <v>3.33491563796997</v>
      </c>
      <c r="AP40" s="2">
        <v>3.83021020889282</v>
      </c>
      <c r="AQ40" s="2">
        <v>4.32142543792725</v>
      </c>
      <c r="AR40" s="2">
        <v>4.80779838562012</v>
      </c>
      <c r="AS40" s="2">
        <v>6.0</v>
      </c>
      <c r="AT40" s="2">
        <v>5.7</v>
      </c>
      <c r="AU40" s="2">
        <v>6.1</v>
      </c>
      <c r="AV40" s="2">
        <v>6.6</v>
      </c>
      <c r="AW40" s="2">
        <v>7.0</v>
      </c>
      <c r="AX40" s="2">
        <v>7.4</v>
      </c>
      <c r="AY40" s="2">
        <v>7.8</v>
      </c>
      <c r="AZ40" s="2">
        <v>8.4</v>
      </c>
      <c r="BA40" s="2">
        <v>7.5</v>
      </c>
      <c r="BB40" s="2">
        <v>9.4</v>
      </c>
      <c r="BC40" s="2">
        <v>9.8</v>
      </c>
      <c r="BD40" s="2">
        <v>10.4</v>
      </c>
      <c r="BE40" s="2">
        <v>11.0</v>
      </c>
      <c r="BF40" s="2">
        <v>11.5</v>
      </c>
      <c r="BG40" s="2">
        <v>12.0</v>
      </c>
      <c r="BH40" s="2">
        <v>12.7</v>
      </c>
      <c r="BI40" s="2">
        <v>13.4</v>
      </c>
      <c r="BJ40" s="2">
        <v>14.1</v>
      </c>
      <c r="BK40" s="2">
        <v>14.6</v>
      </c>
      <c r="BL40" s="2">
        <v>14.3</v>
      </c>
      <c r="BM40" s="2">
        <v>15.4</v>
      </c>
      <c r="BN40" s="2">
        <v>15.7</v>
      </c>
      <c r="BO40" s="2">
        <v>15.7</v>
      </c>
      <c r="BP40" s="2">
        <v>17.6</v>
      </c>
      <c r="BQ40" s="2">
        <v>18.2</v>
      </c>
      <c r="BS40" s="3" t="str">
        <f>VLOOKUP(B40, Metadata!A:B, 2, FALSE)</f>
        <v>Sub-Saharan Africa</v>
      </c>
      <c r="BT40" s="3">
        <f>VLOOKUP(B36,Population!A:B,2,FALSE)*(1-BP36/100)</f>
        <v>0</v>
      </c>
    </row>
    <row r="41" hidden="1">
      <c r="A41" s="2" t="s">
        <v>146</v>
      </c>
      <c r="B41" s="2" t="s">
        <v>147</v>
      </c>
      <c r="C41" s="2" t="s">
        <v>4</v>
      </c>
      <c r="D41" s="2" t="s">
        <v>5</v>
      </c>
      <c r="AI41" s="2">
        <v>100.0</v>
      </c>
      <c r="AJ41" s="2">
        <v>100.0</v>
      </c>
      <c r="AK41" s="2">
        <v>100.0</v>
      </c>
      <c r="AL41" s="2">
        <v>100.0</v>
      </c>
      <c r="AM41" s="2">
        <v>100.0</v>
      </c>
      <c r="AN41" s="2">
        <v>100.0</v>
      </c>
      <c r="AO41" s="2">
        <v>100.0</v>
      </c>
      <c r="AP41" s="2">
        <v>100.0</v>
      </c>
      <c r="AQ41" s="2">
        <v>100.0</v>
      </c>
      <c r="AR41" s="2">
        <v>100.0</v>
      </c>
      <c r="AS41" s="2">
        <v>100.0</v>
      </c>
      <c r="AT41" s="2">
        <v>100.0</v>
      </c>
      <c r="AU41" s="2">
        <v>100.0</v>
      </c>
      <c r="AV41" s="2">
        <v>100.0</v>
      </c>
      <c r="AW41" s="2">
        <v>100.0</v>
      </c>
      <c r="AX41" s="2">
        <v>100.0</v>
      </c>
      <c r="AY41" s="2">
        <v>100.0</v>
      </c>
      <c r="AZ41" s="2">
        <v>100.0</v>
      </c>
      <c r="BA41" s="2">
        <v>100.0</v>
      </c>
      <c r="BB41" s="2">
        <v>100.0</v>
      </c>
      <c r="BC41" s="2">
        <v>100.0</v>
      </c>
      <c r="BD41" s="2">
        <v>100.0</v>
      </c>
      <c r="BE41" s="2">
        <v>100.0</v>
      </c>
      <c r="BF41" s="2">
        <v>100.0</v>
      </c>
      <c r="BG41" s="2">
        <v>100.0</v>
      </c>
      <c r="BH41" s="2">
        <v>100.0</v>
      </c>
      <c r="BI41" s="2">
        <v>100.0</v>
      </c>
      <c r="BJ41" s="2">
        <v>100.0</v>
      </c>
      <c r="BK41" s="2">
        <v>100.0</v>
      </c>
      <c r="BL41" s="2">
        <v>100.0</v>
      </c>
      <c r="BM41" s="2">
        <v>100.0</v>
      </c>
      <c r="BN41" s="2">
        <v>100.0</v>
      </c>
      <c r="BO41" s="2">
        <v>100.0</v>
      </c>
      <c r="BP41" s="2">
        <v>100.0</v>
      </c>
      <c r="BQ41" s="2">
        <v>100.0</v>
      </c>
      <c r="BS41" s="3" t="str">
        <f>VLOOKUP(B41, Metadata!A:B, 2, FALSE)</f>
        <v>North America</v>
      </c>
    </row>
    <row r="42" hidden="1">
      <c r="A42" s="2" t="s">
        <v>148</v>
      </c>
      <c r="B42" s="2" t="s">
        <v>149</v>
      </c>
      <c r="C42" s="2" t="s">
        <v>4</v>
      </c>
      <c r="D42" s="2" t="s">
        <v>5</v>
      </c>
      <c r="AI42" s="2">
        <v>100.0</v>
      </c>
      <c r="AJ42" s="2">
        <v>100.0</v>
      </c>
      <c r="AK42" s="2">
        <v>100.0</v>
      </c>
      <c r="AL42" s="2">
        <v>100.0</v>
      </c>
      <c r="AM42" s="2">
        <v>100.0</v>
      </c>
      <c r="AN42" s="2">
        <v>100.0</v>
      </c>
      <c r="AO42" s="2">
        <v>100.0</v>
      </c>
      <c r="AP42" s="2">
        <v>100.0</v>
      </c>
      <c r="AQ42" s="2">
        <v>100.0</v>
      </c>
      <c r="AR42" s="2">
        <v>100.0</v>
      </c>
      <c r="AS42" s="2">
        <v>97.9262635329594</v>
      </c>
      <c r="AT42" s="2">
        <v>98.0235379735737</v>
      </c>
      <c r="AU42" s="2">
        <v>98.1415583203817</v>
      </c>
      <c r="AV42" s="2">
        <v>98.1907968950416</v>
      </c>
      <c r="AW42" s="2">
        <v>98.26792983008</v>
      </c>
      <c r="AX42" s="2">
        <v>98.3206998410279</v>
      </c>
      <c r="AY42" s="2">
        <v>98.4242817808159</v>
      </c>
      <c r="AZ42" s="2">
        <v>98.5276446395055</v>
      </c>
      <c r="BA42" s="2">
        <v>98.668856546125</v>
      </c>
      <c r="BB42" s="2">
        <v>98.8586601186684</v>
      </c>
      <c r="BC42" s="2">
        <v>98.9644271545097</v>
      </c>
      <c r="BD42" s="2">
        <v>99.0682987223746</v>
      </c>
      <c r="BE42" s="2">
        <v>99.2028356897417</v>
      </c>
      <c r="BF42" s="2">
        <v>99.3084773841306</v>
      </c>
      <c r="BG42" s="2">
        <v>99.410769462163</v>
      </c>
      <c r="BH42" s="2">
        <v>99.5384709863299</v>
      </c>
      <c r="BI42" s="2">
        <v>99.6459138297945</v>
      </c>
      <c r="BJ42" s="2">
        <v>99.8736866830469</v>
      </c>
      <c r="BK42" s="2">
        <v>99.8763758983526</v>
      </c>
      <c r="BL42" s="2">
        <v>99.9480349626799</v>
      </c>
      <c r="BM42" s="2">
        <v>99.98058396497</v>
      </c>
      <c r="BN42" s="2">
        <v>99.9870121182289</v>
      </c>
      <c r="BO42" s="2">
        <v>100.0</v>
      </c>
      <c r="BP42" s="2">
        <v>100.0</v>
      </c>
      <c r="BQ42" s="2">
        <v>100.0</v>
      </c>
      <c r="BS42" s="3" t="str">
        <f>VLOOKUP(B42, Metadata!A:B, 2, FALSE)</f>
        <v/>
      </c>
    </row>
    <row r="43" hidden="1">
      <c r="A43" s="2" t="s">
        <v>150</v>
      </c>
      <c r="B43" s="2" t="s">
        <v>151</v>
      </c>
      <c r="C43" s="2" t="s">
        <v>4</v>
      </c>
      <c r="D43" s="2" t="s">
        <v>5</v>
      </c>
      <c r="AI43" s="2">
        <v>100.0</v>
      </c>
      <c r="AJ43" s="2">
        <v>100.0</v>
      </c>
      <c r="AK43" s="2">
        <v>100.0</v>
      </c>
      <c r="AL43" s="2">
        <v>100.0</v>
      </c>
      <c r="AM43" s="2">
        <v>100.0</v>
      </c>
      <c r="AN43" s="2">
        <v>100.0</v>
      </c>
      <c r="AO43" s="2">
        <v>100.0</v>
      </c>
      <c r="AP43" s="2">
        <v>100.0</v>
      </c>
      <c r="AQ43" s="2">
        <v>100.0</v>
      </c>
      <c r="AR43" s="2">
        <v>100.0</v>
      </c>
      <c r="AS43" s="2">
        <v>100.0</v>
      </c>
      <c r="AT43" s="2">
        <v>100.0</v>
      </c>
      <c r="AU43" s="2">
        <v>100.0</v>
      </c>
      <c r="AV43" s="2">
        <v>100.0</v>
      </c>
      <c r="AW43" s="2">
        <v>100.0</v>
      </c>
      <c r="AX43" s="2">
        <v>100.0</v>
      </c>
      <c r="AY43" s="2">
        <v>100.0</v>
      </c>
      <c r="AZ43" s="2">
        <v>100.0</v>
      </c>
      <c r="BA43" s="2">
        <v>100.0</v>
      </c>
      <c r="BB43" s="2">
        <v>100.0</v>
      </c>
      <c r="BC43" s="2">
        <v>100.0</v>
      </c>
      <c r="BD43" s="2">
        <v>100.0</v>
      </c>
      <c r="BE43" s="2">
        <v>100.0</v>
      </c>
      <c r="BF43" s="2">
        <v>100.0</v>
      </c>
      <c r="BG43" s="2">
        <v>100.0</v>
      </c>
      <c r="BH43" s="2">
        <v>100.0</v>
      </c>
      <c r="BI43" s="2">
        <v>100.0</v>
      </c>
      <c r="BJ43" s="2">
        <v>100.0</v>
      </c>
      <c r="BK43" s="2">
        <v>100.0</v>
      </c>
      <c r="BL43" s="2">
        <v>100.0</v>
      </c>
      <c r="BM43" s="2">
        <v>100.0</v>
      </c>
      <c r="BN43" s="2">
        <v>100.0</v>
      </c>
      <c r="BO43" s="2">
        <v>100.0</v>
      </c>
      <c r="BP43" s="2">
        <v>100.0</v>
      </c>
      <c r="BQ43" s="2">
        <v>100.0</v>
      </c>
      <c r="BS43" s="3" t="str">
        <f>VLOOKUP(B43, Metadata!A:B, 2, FALSE)</f>
        <v>Europe &amp; Central Asia</v>
      </c>
    </row>
    <row r="44" hidden="1">
      <c r="A44" s="2" t="s">
        <v>152</v>
      </c>
      <c r="B44" s="2" t="s">
        <v>153</v>
      </c>
      <c r="C44" s="2" t="s">
        <v>4</v>
      </c>
      <c r="D44" s="2" t="s">
        <v>5</v>
      </c>
      <c r="AI44" s="2">
        <v>100.0</v>
      </c>
      <c r="AJ44" s="2">
        <v>100.0</v>
      </c>
      <c r="AK44" s="2">
        <v>100.0</v>
      </c>
      <c r="AL44" s="2">
        <v>100.0</v>
      </c>
      <c r="AM44" s="2">
        <v>100.0</v>
      </c>
      <c r="AN44" s="2">
        <v>100.0</v>
      </c>
      <c r="AO44" s="2">
        <v>100.0</v>
      </c>
      <c r="AP44" s="2">
        <v>100.0</v>
      </c>
      <c r="AQ44" s="2">
        <v>100.0</v>
      </c>
      <c r="AR44" s="2">
        <v>100.0</v>
      </c>
      <c r="AS44" s="2">
        <v>100.0</v>
      </c>
      <c r="AT44" s="2">
        <v>100.0</v>
      </c>
      <c r="AU44" s="2">
        <v>100.0</v>
      </c>
      <c r="AV44" s="2">
        <v>100.0</v>
      </c>
      <c r="AW44" s="2">
        <v>100.0</v>
      </c>
      <c r="AX44" s="2">
        <v>100.0</v>
      </c>
      <c r="AY44" s="2">
        <v>100.0</v>
      </c>
      <c r="AZ44" s="2">
        <v>100.0</v>
      </c>
      <c r="BA44" s="2">
        <v>100.0</v>
      </c>
      <c r="BB44" s="2">
        <v>100.0</v>
      </c>
      <c r="BC44" s="2">
        <v>100.0</v>
      </c>
      <c r="BD44" s="2">
        <v>100.0</v>
      </c>
      <c r="BE44" s="2">
        <v>100.0</v>
      </c>
      <c r="BF44" s="2">
        <v>100.0</v>
      </c>
      <c r="BG44" s="2">
        <v>100.0</v>
      </c>
      <c r="BH44" s="2">
        <v>100.0</v>
      </c>
      <c r="BI44" s="2">
        <v>100.0</v>
      </c>
      <c r="BJ44" s="2">
        <v>100.0</v>
      </c>
      <c r="BK44" s="2">
        <v>100.0</v>
      </c>
      <c r="BL44" s="2">
        <v>100.0</v>
      </c>
      <c r="BM44" s="2">
        <v>100.0</v>
      </c>
      <c r="BN44" s="2">
        <v>100.0</v>
      </c>
      <c r="BO44" s="2">
        <v>100.0</v>
      </c>
      <c r="BP44" s="2">
        <v>100.0</v>
      </c>
      <c r="BQ44" s="2">
        <v>100.0</v>
      </c>
      <c r="BS44" s="3" t="str">
        <f>VLOOKUP(B44, Metadata!A:B, 2, FALSE)</f>
        <v>Europe &amp; Central Asia</v>
      </c>
    </row>
    <row r="45" hidden="1">
      <c r="A45" s="2" t="s">
        <v>154</v>
      </c>
      <c r="B45" s="2" t="s">
        <v>155</v>
      </c>
      <c r="C45" s="2" t="s">
        <v>4</v>
      </c>
      <c r="D45" s="2" t="s">
        <v>5</v>
      </c>
      <c r="AI45" s="2">
        <v>92.257427</v>
      </c>
      <c r="AJ45" s="2">
        <v>94.781623840332</v>
      </c>
      <c r="AK45" s="2">
        <v>94.560057</v>
      </c>
      <c r="AL45" s="2">
        <v>95.2737274169922</v>
      </c>
      <c r="AM45" s="2">
        <v>95.5180740356445</v>
      </c>
      <c r="AN45" s="2">
        <v>95.760383605957</v>
      </c>
      <c r="AO45" s="2">
        <v>95.617315</v>
      </c>
      <c r="AP45" s="2">
        <v>96.2361679077148</v>
      </c>
      <c r="AQ45" s="2">
        <v>97.241124</v>
      </c>
      <c r="AR45" s="2">
        <v>96.6955490112305</v>
      </c>
      <c r="AS45" s="2">
        <v>97.9</v>
      </c>
      <c r="AT45" s="2">
        <v>97.1</v>
      </c>
      <c r="AU45" s="2">
        <v>97.3</v>
      </c>
      <c r="AV45" s="2">
        <v>98.8</v>
      </c>
      <c r="AW45" s="2">
        <v>97.5</v>
      </c>
      <c r="AX45" s="2">
        <v>97.7</v>
      </c>
      <c r="AY45" s="2">
        <v>99.4</v>
      </c>
      <c r="AZ45" s="2">
        <v>98.0</v>
      </c>
      <c r="BA45" s="2">
        <v>98.2</v>
      </c>
      <c r="BB45" s="2">
        <v>99.6</v>
      </c>
      <c r="BC45" s="2">
        <v>99.5</v>
      </c>
      <c r="BD45" s="2">
        <v>99.6</v>
      </c>
      <c r="BE45" s="2">
        <v>100.0</v>
      </c>
      <c r="BF45" s="2">
        <v>99.6</v>
      </c>
      <c r="BG45" s="2">
        <v>100.0</v>
      </c>
      <c r="BH45" s="2">
        <v>99.7</v>
      </c>
      <c r="BI45" s="2">
        <v>100.0</v>
      </c>
      <c r="BJ45" s="2">
        <v>99.7</v>
      </c>
      <c r="BK45" s="2">
        <v>100.0</v>
      </c>
      <c r="BL45" s="2">
        <v>100.0</v>
      </c>
      <c r="BM45" s="2">
        <v>100.0</v>
      </c>
      <c r="BN45" s="2">
        <v>100.0</v>
      </c>
      <c r="BO45" s="2">
        <v>100.0</v>
      </c>
      <c r="BP45" s="2">
        <v>100.0</v>
      </c>
      <c r="BQ45" s="2">
        <v>99.0</v>
      </c>
      <c r="BS45" s="3" t="str">
        <f>VLOOKUP(B45, Metadata!A:B, 2, FALSE)</f>
        <v>Latin America &amp; Caribbean</v>
      </c>
    </row>
    <row r="46" hidden="1">
      <c r="A46" s="2" t="s">
        <v>158</v>
      </c>
      <c r="B46" s="2" t="s">
        <v>159</v>
      </c>
      <c r="C46" s="2" t="s">
        <v>4</v>
      </c>
      <c r="D46" s="2" t="s">
        <v>5</v>
      </c>
      <c r="AS46" s="2">
        <v>96.7</v>
      </c>
      <c r="AT46" s="2">
        <v>97.0</v>
      </c>
      <c r="AU46" s="2">
        <v>97.2</v>
      </c>
      <c r="AV46" s="2">
        <v>97.4</v>
      </c>
      <c r="AW46" s="2">
        <v>97.7</v>
      </c>
      <c r="AX46" s="2">
        <v>97.9</v>
      </c>
      <c r="AY46" s="2">
        <v>98.2</v>
      </c>
      <c r="AZ46" s="2">
        <v>98.5</v>
      </c>
      <c r="BA46" s="2">
        <v>98.8</v>
      </c>
      <c r="BB46" s="2">
        <v>99.1</v>
      </c>
      <c r="BC46" s="2">
        <v>99.7</v>
      </c>
      <c r="BD46" s="2">
        <v>99.9</v>
      </c>
      <c r="BE46" s="2">
        <v>99.9</v>
      </c>
      <c r="BF46" s="2">
        <v>100.0</v>
      </c>
      <c r="BG46" s="2">
        <v>100.0</v>
      </c>
      <c r="BH46" s="2">
        <v>100.0</v>
      </c>
      <c r="BI46" s="2">
        <v>100.0</v>
      </c>
      <c r="BJ46" s="2">
        <v>100.0</v>
      </c>
      <c r="BK46" s="2">
        <v>100.0</v>
      </c>
      <c r="BL46" s="2">
        <v>100.0</v>
      </c>
      <c r="BM46" s="2">
        <v>100.0</v>
      </c>
      <c r="BN46" s="2">
        <v>100.0</v>
      </c>
      <c r="BO46" s="2">
        <v>100.0</v>
      </c>
      <c r="BP46" s="2">
        <v>100.0</v>
      </c>
      <c r="BQ46" s="2">
        <v>100.0</v>
      </c>
      <c r="BS46" s="3" t="str">
        <f>VLOOKUP(B46, Metadata!A:B, 2, FALSE)</f>
        <v>East Asia &amp; Pacific</v>
      </c>
    </row>
    <row r="47">
      <c r="A47" s="2" t="s">
        <v>142</v>
      </c>
      <c r="B47" s="2" t="s">
        <v>143</v>
      </c>
      <c r="C47" s="2" t="s">
        <v>4</v>
      </c>
      <c r="D47" s="2" t="s">
        <v>5</v>
      </c>
      <c r="AM47" s="2">
        <v>36.5</v>
      </c>
      <c r="AN47" s="2">
        <v>43.6312522888184</v>
      </c>
      <c r="AO47" s="2">
        <v>44.6482124328613</v>
      </c>
      <c r="AP47" s="2">
        <v>45.6617698669434</v>
      </c>
      <c r="AQ47" s="2">
        <v>46.6712455749512</v>
      </c>
      <c r="AR47" s="2">
        <v>48.2</v>
      </c>
      <c r="AS47" s="2">
        <v>48.7</v>
      </c>
      <c r="AT47" s="2">
        <v>49.7</v>
      </c>
      <c r="AU47" s="2">
        <v>51.4</v>
      </c>
      <c r="AV47" s="2">
        <v>51.5</v>
      </c>
      <c r="AW47" s="2">
        <v>52.4</v>
      </c>
      <c r="AX47" s="2">
        <v>58.9</v>
      </c>
      <c r="AY47" s="2">
        <v>60.2</v>
      </c>
      <c r="AZ47" s="2">
        <v>55.3</v>
      </c>
      <c r="BA47" s="2">
        <v>60.3</v>
      </c>
      <c r="BB47" s="2">
        <v>57.3</v>
      </c>
      <c r="BC47" s="2">
        <v>58.4</v>
      </c>
      <c r="BD47" s="2">
        <v>55.8</v>
      </c>
      <c r="BE47" s="2">
        <v>55.8</v>
      </c>
      <c r="BF47" s="2">
        <v>61.5</v>
      </c>
      <c r="BG47" s="2">
        <v>61.9</v>
      </c>
      <c r="BH47" s="2">
        <v>62.6</v>
      </c>
      <c r="BI47" s="2">
        <v>64.3</v>
      </c>
      <c r="BJ47" s="2">
        <v>65.6</v>
      </c>
      <c r="BK47" s="2">
        <v>67.1</v>
      </c>
      <c r="BL47" s="2">
        <v>68.6</v>
      </c>
      <c r="BM47" s="2">
        <v>69.9</v>
      </c>
      <c r="BN47" s="2">
        <v>71.1</v>
      </c>
      <c r="BO47" s="2">
        <v>70.4</v>
      </c>
      <c r="BP47" s="2">
        <v>72.4</v>
      </c>
      <c r="BQ47" s="2">
        <v>72.9</v>
      </c>
      <c r="BS47" s="3" t="str">
        <f>VLOOKUP(B47, Metadata!A:B, 2, FALSE)</f>
        <v>Sub-Saharan Africa</v>
      </c>
      <c r="BT47" s="3">
        <f>VLOOKUP(B43,Population!A:B,2,FALSE)*(1-BP43/100)</f>
        <v>0</v>
      </c>
    </row>
    <row r="48">
      <c r="A48" s="2" t="s">
        <v>104</v>
      </c>
      <c r="B48" s="2" t="s">
        <v>105</v>
      </c>
      <c r="C48" s="2" t="s">
        <v>4</v>
      </c>
      <c r="D48" s="2" t="s">
        <v>5</v>
      </c>
      <c r="AJ48" s="2">
        <v>29.0</v>
      </c>
      <c r="AK48" s="2">
        <v>32.6975250244141</v>
      </c>
      <c r="AL48" s="2">
        <v>33.849193572998</v>
      </c>
      <c r="AM48" s="2">
        <v>34.9995040893555</v>
      </c>
      <c r="AN48" s="2">
        <v>36.1477737426758</v>
      </c>
      <c r="AO48" s="2">
        <v>37.2933235168457</v>
      </c>
      <c r="AP48" s="2">
        <v>38.435474395752</v>
      </c>
      <c r="AQ48" s="2">
        <v>40.7</v>
      </c>
      <c r="AR48" s="2">
        <v>40.7067756652832</v>
      </c>
      <c r="AS48" s="2">
        <v>41.0</v>
      </c>
      <c r="AT48" s="2">
        <v>46.2</v>
      </c>
      <c r="AU48" s="2">
        <v>44.0</v>
      </c>
      <c r="AV48" s="2">
        <v>45.1</v>
      </c>
      <c r="AW48" s="2">
        <v>47.1</v>
      </c>
      <c r="AX48" s="2">
        <v>47.2</v>
      </c>
      <c r="AY48" s="2">
        <v>49.0</v>
      </c>
      <c r="AZ48" s="2">
        <v>48.2</v>
      </c>
      <c r="BA48" s="2">
        <v>50.6</v>
      </c>
      <c r="BB48" s="2">
        <v>51.7</v>
      </c>
      <c r="BC48" s="2">
        <v>52.8</v>
      </c>
      <c r="BD48" s="2">
        <v>53.7</v>
      </c>
      <c r="BE48" s="2">
        <v>55.2</v>
      </c>
      <c r="BF48" s="2">
        <v>56.3</v>
      </c>
      <c r="BG48" s="2">
        <v>56.8</v>
      </c>
      <c r="BH48" s="2">
        <v>58.6</v>
      </c>
      <c r="BI48" s="2">
        <v>59.8</v>
      </c>
      <c r="BJ48" s="2">
        <v>60.9</v>
      </c>
      <c r="BK48" s="2">
        <v>62.2</v>
      </c>
      <c r="BL48" s="2">
        <v>63.2</v>
      </c>
      <c r="BM48" s="2">
        <v>64.3</v>
      </c>
      <c r="BN48" s="2">
        <v>65.4</v>
      </c>
      <c r="BO48" s="2">
        <v>71.0</v>
      </c>
      <c r="BP48" s="2">
        <v>72.0</v>
      </c>
      <c r="BQ48" s="2">
        <v>72.0</v>
      </c>
      <c r="BS48" s="3" t="str">
        <f>VLOOKUP(B48, Metadata!A:B, 2, FALSE)</f>
        <v>Sub-Saharan Africa</v>
      </c>
      <c r="BT48" s="3">
        <f>VLOOKUP(B44,Population!A:B,2,FALSE)*(1-BP44/100)</f>
        <v>0</v>
      </c>
    </row>
    <row r="49">
      <c r="A49" s="2" t="s">
        <v>82</v>
      </c>
      <c r="B49" s="2" t="s">
        <v>83</v>
      </c>
      <c r="C49" s="2" t="s">
        <v>4</v>
      </c>
      <c r="D49" s="2" t="s">
        <v>5</v>
      </c>
      <c r="AS49" s="2">
        <v>6.7</v>
      </c>
      <c r="AT49" s="2">
        <v>7.1</v>
      </c>
      <c r="AU49" s="2">
        <v>7.7</v>
      </c>
      <c r="AV49" s="2">
        <v>8.3</v>
      </c>
      <c r="AW49" s="2">
        <v>9.0</v>
      </c>
      <c r="AX49" s="2">
        <v>6.0</v>
      </c>
      <c r="AY49" s="2">
        <v>10.2</v>
      </c>
      <c r="AZ49" s="2">
        <v>15.2</v>
      </c>
      <c r="BA49" s="2">
        <v>11.6</v>
      </c>
      <c r="BB49" s="2">
        <v>12.3</v>
      </c>
      <c r="BC49" s="2">
        <v>13.0</v>
      </c>
      <c r="BD49" s="2">
        <v>13.7</v>
      </c>
      <c r="BE49" s="2">
        <v>15.4</v>
      </c>
      <c r="BF49" s="2">
        <v>15.2</v>
      </c>
      <c r="BG49" s="2">
        <v>13.5</v>
      </c>
      <c r="BH49" s="2">
        <v>16.6</v>
      </c>
      <c r="BI49" s="2">
        <v>17.3</v>
      </c>
      <c r="BJ49" s="2">
        <v>18.0</v>
      </c>
      <c r="BK49" s="2">
        <v>18.7</v>
      </c>
      <c r="BL49" s="2">
        <v>19.1</v>
      </c>
      <c r="BM49" s="2">
        <v>20.1</v>
      </c>
      <c r="BN49" s="2">
        <v>20.8</v>
      </c>
      <c r="BO49" s="2">
        <v>21.5</v>
      </c>
      <c r="BP49" s="2">
        <v>22.1</v>
      </c>
      <c r="BQ49" s="2">
        <v>22.5</v>
      </c>
      <c r="BS49" s="3" t="str">
        <f>VLOOKUP(B49, Metadata!A:B, 2, FALSE)</f>
        <v>Sub-Saharan Africa</v>
      </c>
      <c r="BT49" s="3">
        <f>VLOOKUP(B45,Population!A:B,2,FALSE)*(1-BP45/100)</f>
        <v>0</v>
      </c>
    </row>
    <row r="50">
      <c r="A50" s="2" t="s">
        <v>86</v>
      </c>
      <c r="B50" s="2" t="s">
        <v>87</v>
      </c>
      <c r="C50" s="2" t="s">
        <v>4</v>
      </c>
      <c r="D50" s="2" t="s">
        <v>5</v>
      </c>
      <c r="AS50" s="2">
        <v>29.4</v>
      </c>
      <c r="AT50" s="2">
        <v>30.3</v>
      </c>
      <c r="AU50" s="2">
        <v>31.2</v>
      </c>
      <c r="AV50" s="2">
        <v>32.1</v>
      </c>
      <c r="AW50" s="2">
        <v>33.0</v>
      </c>
      <c r="AX50" s="2">
        <v>33.8</v>
      </c>
      <c r="AY50" s="2">
        <v>34.9</v>
      </c>
      <c r="AZ50" s="2">
        <v>35.8</v>
      </c>
      <c r="BA50" s="2">
        <v>36.8</v>
      </c>
      <c r="BB50" s="2">
        <v>37.1</v>
      </c>
      <c r="BC50" s="2">
        <v>40.0</v>
      </c>
      <c r="BD50" s="2">
        <v>40.8</v>
      </c>
      <c r="BE50" s="2">
        <v>41.6</v>
      </c>
      <c r="BF50" s="2">
        <v>42.5</v>
      </c>
      <c r="BG50" s="2">
        <v>43.4</v>
      </c>
      <c r="BH50" s="2">
        <v>44.3</v>
      </c>
      <c r="BI50" s="2">
        <v>45.3</v>
      </c>
      <c r="BJ50" s="2">
        <v>46.2</v>
      </c>
      <c r="BK50" s="2">
        <v>47.0</v>
      </c>
      <c r="BL50" s="2">
        <v>47.7</v>
      </c>
      <c r="BM50" s="2">
        <v>48.7</v>
      </c>
      <c r="BN50" s="2">
        <v>49.7</v>
      </c>
      <c r="BO50" s="2">
        <v>50.6</v>
      </c>
      <c r="BP50" s="2">
        <v>51.3</v>
      </c>
      <c r="BQ50" s="2">
        <v>53.0</v>
      </c>
      <c r="BS50" s="3" t="str">
        <f>VLOOKUP(B50, Metadata!A:B, 2, FALSE)</f>
        <v>Sub-Saharan Africa</v>
      </c>
      <c r="BT50" s="3">
        <f>VLOOKUP(B46,Population!A:B,2,FALSE)*(1-BP46/100)</f>
        <v>0</v>
      </c>
    </row>
    <row r="51" hidden="1">
      <c r="A51" s="2" t="s">
        <v>162</v>
      </c>
      <c r="B51" s="2" t="s">
        <v>163</v>
      </c>
      <c r="C51" s="2" t="s">
        <v>4</v>
      </c>
      <c r="D51" s="2" t="s">
        <v>5</v>
      </c>
      <c r="AI51" s="2">
        <v>89.9</v>
      </c>
      <c r="AJ51" s="2">
        <v>91.8366546630859</v>
      </c>
      <c r="AK51" s="2">
        <v>92.1326599121094</v>
      </c>
      <c r="AL51" s="2">
        <v>92.4279937744141</v>
      </c>
      <c r="AM51" s="2">
        <v>92.7219619750977</v>
      </c>
      <c r="AN51" s="2">
        <v>91.2</v>
      </c>
      <c r="AO51" s="2">
        <v>93.3031005859375</v>
      </c>
      <c r="AP51" s="2">
        <v>93.5889129638672</v>
      </c>
      <c r="AQ51" s="2">
        <v>93.8706436157227</v>
      </c>
      <c r="AR51" s="2">
        <v>94.1475296020508</v>
      </c>
      <c r="AS51" s="2">
        <v>95.2</v>
      </c>
      <c r="AT51" s="2">
        <v>98.5</v>
      </c>
      <c r="AU51" s="2">
        <v>94.9</v>
      </c>
      <c r="AV51" s="2">
        <v>95.1</v>
      </c>
      <c r="AW51" s="2">
        <v>95.3</v>
      </c>
      <c r="AX51" s="2">
        <v>96.8</v>
      </c>
      <c r="AY51" s="2">
        <v>95.7</v>
      </c>
      <c r="AZ51" s="2">
        <v>96.0</v>
      </c>
      <c r="BA51" s="2">
        <v>96.8</v>
      </c>
      <c r="BB51" s="2">
        <v>96.1</v>
      </c>
      <c r="BC51" s="2">
        <v>96.8</v>
      </c>
      <c r="BD51" s="2">
        <v>96.7</v>
      </c>
      <c r="BE51" s="2">
        <v>97.0</v>
      </c>
      <c r="BF51" s="2">
        <v>97.8</v>
      </c>
      <c r="BG51" s="2">
        <v>97.8</v>
      </c>
      <c r="BH51" s="2">
        <v>98.2</v>
      </c>
      <c r="BI51" s="2">
        <v>98.4</v>
      </c>
      <c r="BJ51" s="2">
        <v>98.5</v>
      </c>
      <c r="BK51" s="2">
        <v>98.5</v>
      </c>
      <c r="BL51" s="2">
        <v>99.4</v>
      </c>
      <c r="BM51" s="2">
        <v>99.7</v>
      </c>
      <c r="BN51" s="2">
        <v>100.0</v>
      </c>
      <c r="BO51" s="2">
        <v>100.0</v>
      </c>
      <c r="BP51" s="2">
        <v>98.7</v>
      </c>
      <c r="BQ51" s="2">
        <v>98.9</v>
      </c>
      <c r="BS51" s="3" t="str">
        <f>VLOOKUP(B51, Metadata!A:B, 2, FALSE)</f>
        <v>Latin America &amp; Caribbean</v>
      </c>
    </row>
    <row r="52">
      <c r="A52" s="2" t="s">
        <v>60</v>
      </c>
      <c r="B52" s="2" t="s">
        <v>61</v>
      </c>
      <c r="C52" s="2" t="s">
        <v>4</v>
      </c>
      <c r="D52" s="2" t="s">
        <v>5</v>
      </c>
      <c r="AO52" s="2">
        <v>28.9</v>
      </c>
      <c r="AP52" s="2">
        <v>32.7624130249023</v>
      </c>
      <c r="AQ52" s="2">
        <v>35.0945281982422</v>
      </c>
      <c r="AR52" s="2">
        <v>37.421802520752</v>
      </c>
      <c r="AS52" s="2">
        <v>39.8</v>
      </c>
      <c r="AT52" s="2">
        <v>42.0</v>
      </c>
      <c r="AU52" s="2">
        <v>44.8</v>
      </c>
      <c r="AV52" s="2">
        <v>46.5</v>
      </c>
      <c r="AW52" s="2">
        <v>48.7</v>
      </c>
      <c r="AX52" s="2">
        <v>51.0</v>
      </c>
      <c r="AY52" s="2">
        <v>53.2</v>
      </c>
      <c r="AZ52" s="2">
        <v>55.5</v>
      </c>
      <c r="BA52" s="2">
        <v>57.8</v>
      </c>
      <c r="BB52" s="2">
        <v>60.1</v>
      </c>
      <c r="BC52" s="2">
        <v>69.7</v>
      </c>
      <c r="BD52" s="2">
        <v>69.3</v>
      </c>
      <c r="BE52" s="2">
        <v>69.3</v>
      </c>
      <c r="BF52" s="2">
        <v>69.4</v>
      </c>
      <c r="BG52" s="2">
        <v>71.8</v>
      </c>
      <c r="BH52" s="2">
        <v>74.1</v>
      </c>
      <c r="BI52" s="2">
        <v>76.4</v>
      </c>
      <c r="BJ52" s="2">
        <v>78.7</v>
      </c>
      <c r="BK52" s="2">
        <v>81.0</v>
      </c>
      <c r="BL52" s="2">
        <v>83.3</v>
      </c>
      <c r="BM52" s="2">
        <v>85.6</v>
      </c>
      <c r="BN52" s="2">
        <v>87.9</v>
      </c>
      <c r="BO52" s="2">
        <v>89.9</v>
      </c>
      <c r="BP52" s="2">
        <v>89.8</v>
      </c>
      <c r="BQ52" s="2">
        <v>91.7</v>
      </c>
      <c r="BS52" s="3" t="str">
        <f>VLOOKUP(B52, Metadata!A:B, 2, FALSE)</f>
        <v>Sub-Saharan Africa</v>
      </c>
      <c r="BT52" s="3">
        <f>VLOOKUP(B48,Population!A:B,2,FALSE)*(1-BP48/100)</f>
        <v>7944352.36</v>
      </c>
    </row>
    <row r="53">
      <c r="A53" s="2" t="s">
        <v>84</v>
      </c>
      <c r="B53" s="2" t="s">
        <v>85</v>
      </c>
      <c r="C53" s="2" t="s">
        <v>4</v>
      </c>
      <c r="D53" s="2" t="s">
        <v>5</v>
      </c>
      <c r="AS53" s="2">
        <v>58.6</v>
      </c>
      <c r="AT53" s="2">
        <v>60.3</v>
      </c>
      <c r="AU53" s="2">
        <v>58.6</v>
      </c>
      <c r="AV53" s="2">
        <v>63.7</v>
      </c>
      <c r="AW53" s="2">
        <v>65.4</v>
      </c>
      <c r="AX53" s="2">
        <v>67.0</v>
      </c>
      <c r="AY53" s="2">
        <v>68.8</v>
      </c>
      <c r="AZ53" s="2">
        <v>70.5</v>
      </c>
      <c r="BA53" s="2">
        <v>72.3</v>
      </c>
      <c r="BB53" s="2">
        <v>74.1</v>
      </c>
      <c r="BC53" s="2">
        <v>81.1</v>
      </c>
      <c r="BD53" s="2">
        <v>82.3</v>
      </c>
      <c r="BE53" s="2">
        <v>83.2</v>
      </c>
      <c r="BF53" s="2">
        <v>84.3</v>
      </c>
      <c r="BG53" s="2">
        <v>85.3</v>
      </c>
      <c r="BH53" s="2">
        <v>86.4</v>
      </c>
      <c r="BI53" s="2">
        <v>87.5</v>
      </c>
      <c r="BJ53" s="2">
        <v>88.6</v>
      </c>
      <c r="BK53" s="2">
        <v>90.2</v>
      </c>
      <c r="BL53" s="2">
        <v>91.4</v>
      </c>
      <c r="BM53" s="2">
        <v>93.7</v>
      </c>
      <c r="BN53" s="2">
        <v>95.5</v>
      </c>
      <c r="BO53" s="2">
        <v>97.1</v>
      </c>
      <c r="BP53" s="2">
        <v>98.6</v>
      </c>
      <c r="BQ53" s="2">
        <v>98.4</v>
      </c>
      <c r="BS53" s="3" t="str">
        <f>VLOOKUP(B53, Metadata!A:B, 2, FALSE)</f>
        <v>Sub-Saharan Africa</v>
      </c>
      <c r="BT53" s="3">
        <f>VLOOKUP(B49,Population!A:B,2,FALSE)*(1-BP49/100)</f>
        <v>82410200.45</v>
      </c>
    </row>
    <row r="54" hidden="1">
      <c r="A54" s="2" t="s">
        <v>166</v>
      </c>
      <c r="B54" s="2" t="s">
        <v>167</v>
      </c>
      <c r="C54" s="2" t="s">
        <v>4</v>
      </c>
      <c r="D54" s="2" t="s">
        <v>5</v>
      </c>
      <c r="AS54" s="2">
        <v>96.9</v>
      </c>
      <c r="AT54" s="2">
        <v>98.2</v>
      </c>
      <c r="AU54" s="2">
        <v>98.5</v>
      </c>
      <c r="AV54" s="2">
        <v>98.7</v>
      </c>
      <c r="AW54" s="2">
        <v>99.0</v>
      </c>
      <c r="AX54" s="2">
        <v>99.1</v>
      </c>
      <c r="AY54" s="2">
        <v>99.1</v>
      </c>
      <c r="AZ54" s="2">
        <v>99.2</v>
      </c>
      <c r="BA54" s="2">
        <v>99.3</v>
      </c>
      <c r="BB54" s="2">
        <v>99.4</v>
      </c>
      <c r="BC54" s="2">
        <v>99.0</v>
      </c>
      <c r="BD54" s="2">
        <v>99.2</v>
      </c>
      <c r="BE54" s="2">
        <v>99.5</v>
      </c>
      <c r="BF54" s="2">
        <v>99.6</v>
      </c>
      <c r="BG54" s="2">
        <v>99.4</v>
      </c>
      <c r="BH54" s="2">
        <v>99.4</v>
      </c>
      <c r="BI54" s="2">
        <v>99.5</v>
      </c>
      <c r="BJ54" s="2">
        <v>99.6</v>
      </c>
      <c r="BK54" s="2">
        <v>99.7</v>
      </c>
      <c r="BL54" s="2">
        <v>99.7</v>
      </c>
      <c r="BM54" s="2">
        <v>99.9</v>
      </c>
      <c r="BN54" s="2">
        <v>100.0</v>
      </c>
      <c r="BO54" s="2">
        <v>100.0</v>
      </c>
      <c r="BP54" s="2">
        <v>100.0</v>
      </c>
      <c r="BQ54" s="2">
        <v>99.8</v>
      </c>
      <c r="BS54" s="3" t="str">
        <f>VLOOKUP(B54, Metadata!A:B, 2, FALSE)</f>
        <v>Latin America &amp; Caribbean</v>
      </c>
    </row>
    <row r="55" hidden="1">
      <c r="A55" s="2" t="s">
        <v>168</v>
      </c>
      <c r="B55" s="2" t="s">
        <v>169</v>
      </c>
      <c r="C55" s="2" t="s">
        <v>4</v>
      </c>
      <c r="D55" s="2" t="s">
        <v>5</v>
      </c>
      <c r="AS55" s="2">
        <v>88.4159289818663</v>
      </c>
      <c r="AT55" s="2">
        <v>90.4855336740834</v>
      </c>
      <c r="AU55" s="2">
        <v>90.809112704402</v>
      </c>
      <c r="AV55" s="2">
        <v>91.0018718387357</v>
      </c>
      <c r="AW55" s="2">
        <v>91.2894647290611</v>
      </c>
      <c r="AX55" s="2">
        <v>90.8157874812197</v>
      </c>
      <c r="AY55" s="2">
        <v>91.9463978625702</v>
      </c>
      <c r="AZ55" s="2">
        <v>93.0816054727479</v>
      </c>
      <c r="BA55" s="2">
        <v>93.4441294061575</v>
      </c>
      <c r="BB55" s="2">
        <v>92.9152943922676</v>
      </c>
      <c r="BC55" s="2">
        <v>94.1815124594599</v>
      </c>
      <c r="BD55" s="2">
        <v>94.1276818467132</v>
      </c>
      <c r="BE55" s="2">
        <v>95.2543113839721</v>
      </c>
      <c r="BF55" s="2">
        <v>95.5637395418446</v>
      </c>
      <c r="BG55" s="2">
        <v>95.8432196458407</v>
      </c>
      <c r="BH55" s="2">
        <v>96.2001948453372</v>
      </c>
      <c r="BI55" s="2">
        <v>96.6656867832991</v>
      </c>
      <c r="BJ55" s="2">
        <v>97.0542900594117</v>
      </c>
      <c r="BK55" s="2">
        <v>97.0878277080481</v>
      </c>
      <c r="BL55" s="2">
        <v>97.3685903913769</v>
      </c>
      <c r="BM55" s="2">
        <v>97.9333626877032</v>
      </c>
      <c r="BN55" s="2">
        <v>98.1746990902549</v>
      </c>
      <c r="BO55" s="2">
        <v>98.3064221501297</v>
      </c>
      <c r="BP55" s="2">
        <v>99.168477538461</v>
      </c>
      <c r="BQ55" s="2">
        <v>98.4281812533873</v>
      </c>
      <c r="BS55" s="3" t="str">
        <f>VLOOKUP(B55, Metadata!A:B, 2, FALSE)</f>
        <v/>
      </c>
    </row>
    <row r="56" hidden="1">
      <c r="A56" s="2" t="s">
        <v>172</v>
      </c>
      <c r="B56" s="2" t="s">
        <v>173</v>
      </c>
      <c r="C56" s="2" t="s">
        <v>4</v>
      </c>
      <c r="D56" s="2" t="s">
        <v>5</v>
      </c>
      <c r="AS56" s="2">
        <v>97.0</v>
      </c>
      <c r="AT56" s="2">
        <v>96.2</v>
      </c>
      <c r="AU56" s="2">
        <v>95.5</v>
      </c>
      <c r="AV56" s="2">
        <v>96.5</v>
      </c>
      <c r="AW56" s="2">
        <v>96.6</v>
      </c>
      <c r="AX56" s="2">
        <v>96.8</v>
      </c>
      <c r="AY56" s="2">
        <v>96.9</v>
      </c>
      <c r="AZ56" s="2">
        <v>97.1</v>
      </c>
      <c r="BA56" s="2">
        <v>97.3</v>
      </c>
      <c r="BB56" s="2">
        <v>97.6</v>
      </c>
      <c r="BC56" s="2">
        <v>97.8</v>
      </c>
      <c r="BD56" s="2">
        <v>98.0</v>
      </c>
      <c r="BE56" s="2">
        <v>98.3</v>
      </c>
      <c r="BF56" s="2">
        <v>98.5</v>
      </c>
      <c r="BG56" s="2">
        <v>98.7</v>
      </c>
      <c r="BH56" s="2">
        <v>99.0</v>
      </c>
      <c r="BI56" s="2">
        <v>99.2</v>
      </c>
      <c r="BJ56" s="2">
        <v>99.4</v>
      </c>
      <c r="BK56" s="2">
        <v>99.6</v>
      </c>
      <c r="BL56" s="2">
        <v>99.8</v>
      </c>
      <c r="BM56" s="2">
        <v>99.9</v>
      </c>
      <c r="BN56" s="2">
        <v>100.0</v>
      </c>
      <c r="BO56" s="2">
        <v>100.0</v>
      </c>
      <c r="BP56" s="2">
        <v>100.0</v>
      </c>
      <c r="BQ56" s="2">
        <v>100.0</v>
      </c>
      <c r="BS56" s="3" t="str">
        <f>VLOOKUP(B56, Metadata!A:B, 2, FALSE)</f>
        <v>Latin America &amp; Caribbean</v>
      </c>
    </row>
    <row r="57" hidden="1">
      <c r="A57" s="2" t="s">
        <v>174</v>
      </c>
      <c r="B57" s="2" t="s">
        <v>175</v>
      </c>
      <c r="C57" s="2" t="s">
        <v>4</v>
      </c>
      <c r="D57" s="2" t="s">
        <v>5</v>
      </c>
      <c r="AI57" s="2">
        <v>100.0</v>
      </c>
      <c r="AJ57" s="2">
        <v>100.0</v>
      </c>
      <c r="AK57" s="2">
        <v>100.0</v>
      </c>
      <c r="AL57" s="2">
        <v>100.0</v>
      </c>
      <c r="AM57" s="2">
        <v>100.0</v>
      </c>
      <c r="AN57" s="2">
        <v>100.0</v>
      </c>
      <c r="AO57" s="2">
        <v>100.0</v>
      </c>
      <c r="AP57" s="2">
        <v>100.0</v>
      </c>
      <c r="AQ57" s="2">
        <v>100.0</v>
      </c>
      <c r="AR57" s="2">
        <v>100.0</v>
      </c>
      <c r="AS57" s="2">
        <v>100.0</v>
      </c>
      <c r="AT57" s="2">
        <v>99.9</v>
      </c>
      <c r="AU57" s="2">
        <v>99.9</v>
      </c>
      <c r="AV57" s="2">
        <v>99.8</v>
      </c>
      <c r="AW57" s="2">
        <v>99.8</v>
      </c>
      <c r="AX57" s="2">
        <v>99.7</v>
      </c>
      <c r="AY57" s="2">
        <v>99.7</v>
      </c>
      <c r="AZ57" s="2">
        <v>99.7</v>
      </c>
      <c r="BA57" s="2">
        <v>99.7</v>
      </c>
      <c r="BB57" s="2">
        <v>99.7</v>
      </c>
      <c r="BC57" s="2">
        <v>100.0</v>
      </c>
      <c r="BD57" s="2">
        <v>100.0</v>
      </c>
      <c r="BE57" s="2">
        <v>100.0</v>
      </c>
      <c r="BF57" s="2">
        <v>100.0</v>
      </c>
      <c r="BG57" s="2">
        <v>100.0</v>
      </c>
      <c r="BH57" s="2">
        <v>100.0</v>
      </c>
      <c r="BI57" s="2">
        <v>100.0</v>
      </c>
      <c r="BJ57" s="2">
        <v>100.0</v>
      </c>
      <c r="BK57" s="2">
        <v>100.0</v>
      </c>
      <c r="BL57" s="2">
        <v>100.0</v>
      </c>
      <c r="BM57" s="2">
        <v>100.0</v>
      </c>
      <c r="BN57" s="2">
        <v>100.0</v>
      </c>
      <c r="BO57" s="2">
        <v>100.0</v>
      </c>
      <c r="BP57" s="2">
        <v>100.0</v>
      </c>
      <c r="BQ57" s="2">
        <v>100.0</v>
      </c>
      <c r="BS57" s="3" t="str">
        <f>VLOOKUP(B57, Metadata!A:B, 2, FALSE)</f>
        <v>Latin America &amp; Caribbean</v>
      </c>
    </row>
    <row r="58" hidden="1">
      <c r="A58" s="2" t="s">
        <v>178</v>
      </c>
      <c r="B58" s="2" t="s">
        <v>179</v>
      </c>
      <c r="C58" s="2" t="s">
        <v>4</v>
      </c>
      <c r="D58" s="2" t="s">
        <v>5</v>
      </c>
      <c r="AI58" s="2">
        <v>99.846923828125</v>
      </c>
      <c r="AJ58" s="2">
        <v>99.8788146972656</v>
      </c>
      <c r="AK58" s="2">
        <v>99.9102401733398</v>
      </c>
      <c r="AL58" s="2">
        <v>100.0</v>
      </c>
      <c r="AM58" s="2">
        <v>100.0</v>
      </c>
      <c r="AN58" s="2">
        <v>100.0</v>
      </c>
      <c r="AO58" s="2">
        <v>100.0</v>
      </c>
      <c r="AP58" s="2">
        <v>100.0</v>
      </c>
      <c r="AQ58" s="2">
        <v>100.0</v>
      </c>
      <c r="AR58" s="2">
        <v>100.0</v>
      </c>
      <c r="AS58" s="2">
        <v>100.0</v>
      </c>
      <c r="AT58" s="2">
        <v>100.0</v>
      </c>
      <c r="AU58" s="2">
        <v>100.0</v>
      </c>
      <c r="AV58" s="2">
        <v>100.0</v>
      </c>
      <c r="AW58" s="2">
        <v>100.0</v>
      </c>
      <c r="AX58" s="2">
        <v>100.0</v>
      </c>
      <c r="AY58" s="2">
        <v>100.0</v>
      </c>
      <c r="AZ58" s="2">
        <v>100.0</v>
      </c>
      <c r="BA58" s="2">
        <v>100.0</v>
      </c>
      <c r="BB58" s="2">
        <v>100.0</v>
      </c>
      <c r="BC58" s="2">
        <v>100.0</v>
      </c>
      <c r="BD58" s="2">
        <v>100.0</v>
      </c>
      <c r="BE58" s="2">
        <v>100.0</v>
      </c>
      <c r="BF58" s="2">
        <v>100.0</v>
      </c>
      <c r="BG58" s="2">
        <v>100.0</v>
      </c>
      <c r="BH58" s="2">
        <v>100.0</v>
      </c>
      <c r="BI58" s="2">
        <v>100.0</v>
      </c>
      <c r="BJ58" s="2">
        <v>100.0</v>
      </c>
      <c r="BK58" s="2">
        <v>100.0</v>
      </c>
      <c r="BL58" s="2">
        <v>100.0</v>
      </c>
      <c r="BM58" s="2">
        <v>100.0</v>
      </c>
      <c r="BN58" s="2">
        <v>100.0</v>
      </c>
      <c r="BO58" s="2">
        <v>100.0</v>
      </c>
      <c r="BP58" s="2">
        <v>100.0</v>
      </c>
      <c r="BQ58" s="2">
        <v>100.0</v>
      </c>
      <c r="BS58" s="3" t="str">
        <f>VLOOKUP(B58, Metadata!A:B, 2, FALSE)</f>
        <v>Latin America &amp; Caribbean</v>
      </c>
    </row>
    <row r="59" hidden="1">
      <c r="A59" s="2" t="s">
        <v>180</v>
      </c>
      <c r="B59" s="2" t="s">
        <v>181</v>
      </c>
      <c r="C59" s="2" t="s">
        <v>4</v>
      </c>
      <c r="D59" s="2" t="s">
        <v>5</v>
      </c>
      <c r="AI59" s="2">
        <v>100.0</v>
      </c>
      <c r="AJ59" s="2">
        <v>100.0</v>
      </c>
      <c r="AK59" s="2">
        <v>100.0</v>
      </c>
      <c r="AL59" s="2">
        <v>100.0</v>
      </c>
      <c r="AM59" s="2">
        <v>100.0</v>
      </c>
      <c r="AN59" s="2">
        <v>100.0</v>
      </c>
      <c r="AO59" s="2">
        <v>100.0</v>
      </c>
      <c r="AP59" s="2">
        <v>100.0</v>
      </c>
      <c r="AQ59" s="2">
        <v>100.0</v>
      </c>
      <c r="AR59" s="2">
        <v>100.0</v>
      </c>
      <c r="AS59" s="2">
        <v>100.0</v>
      </c>
      <c r="AT59" s="2">
        <v>100.0</v>
      </c>
      <c r="AU59" s="2">
        <v>100.0</v>
      </c>
      <c r="AV59" s="2">
        <v>100.0</v>
      </c>
      <c r="AW59" s="2">
        <v>100.0</v>
      </c>
      <c r="AX59" s="2">
        <v>100.0</v>
      </c>
      <c r="AY59" s="2">
        <v>100.0</v>
      </c>
      <c r="AZ59" s="2">
        <v>100.0</v>
      </c>
      <c r="BA59" s="2">
        <v>100.0</v>
      </c>
      <c r="BB59" s="2">
        <v>100.0</v>
      </c>
      <c r="BC59" s="2">
        <v>100.0</v>
      </c>
      <c r="BD59" s="2">
        <v>100.0</v>
      </c>
      <c r="BE59" s="2">
        <v>100.0</v>
      </c>
      <c r="BF59" s="2">
        <v>100.0</v>
      </c>
      <c r="BG59" s="2">
        <v>100.0</v>
      </c>
      <c r="BH59" s="2">
        <v>100.0</v>
      </c>
      <c r="BI59" s="2">
        <v>100.0</v>
      </c>
      <c r="BJ59" s="2">
        <v>100.0</v>
      </c>
      <c r="BK59" s="2">
        <v>100.0</v>
      </c>
      <c r="BL59" s="2">
        <v>100.0</v>
      </c>
      <c r="BM59" s="2">
        <v>100.0</v>
      </c>
      <c r="BN59" s="2">
        <v>100.0</v>
      </c>
      <c r="BO59" s="2">
        <v>100.0</v>
      </c>
      <c r="BP59" s="2">
        <v>100.0</v>
      </c>
      <c r="BQ59" s="2">
        <v>100.0</v>
      </c>
      <c r="BS59" s="3" t="str">
        <f>VLOOKUP(B59, Metadata!A:B, 2, FALSE)</f>
        <v>Europe &amp; Central Asia</v>
      </c>
    </row>
    <row r="60" hidden="1">
      <c r="A60" s="2" t="s">
        <v>182</v>
      </c>
      <c r="B60" s="2" t="s">
        <v>183</v>
      </c>
      <c r="C60" s="2" t="s">
        <v>4</v>
      </c>
      <c r="D60" s="2" t="s">
        <v>5</v>
      </c>
      <c r="AI60" s="2">
        <v>100.0</v>
      </c>
      <c r="AJ60" s="2">
        <v>100.0</v>
      </c>
      <c r="AK60" s="2">
        <v>100.0</v>
      </c>
      <c r="AL60" s="2">
        <v>100.0</v>
      </c>
      <c r="AM60" s="2">
        <v>100.0</v>
      </c>
      <c r="AN60" s="2">
        <v>100.0</v>
      </c>
      <c r="AO60" s="2">
        <v>100.0</v>
      </c>
      <c r="AP60" s="2">
        <v>100.0</v>
      </c>
      <c r="AQ60" s="2">
        <v>100.0</v>
      </c>
      <c r="AR60" s="2">
        <v>100.0</v>
      </c>
      <c r="AS60" s="2">
        <v>100.0</v>
      </c>
      <c r="AT60" s="2">
        <v>100.0</v>
      </c>
      <c r="AU60" s="2">
        <v>100.0</v>
      </c>
      <c r="AV60" s="2">
        <v>100.0</v>
      </c>
      <c r="AW60" s="2">
        <v>100.0</v>
      </c>
      <c r="AX60" s="2">
        <v>100.0</v>
      </c>
      <c r="AY60" s="2">
        <v>100.0</v>
      </c>
      <c r="AZ60" s="2">
        <v>100.0</v>
      </c>
      <c r="BA60" s="2">
        <v>100.0</v>
      </c>
      <c r="BB60" s="2">
        <v>100.0</v>
      </c>
      <c r="BC60" s="2">
        <v>100.0</v>
      </c>
      <c r="BD60" s="2">
        <v>100.0</v>
      </c>
      <c r="BE60" s="2">
        <v>100.0</v>
      </c>
      <c r="BF60" s="2">
        <v>100.0</v>
      </c>
      <c r="BG60" s="2">
        <v>100.0</v>
      </c>
      <c r="BH60" s="2">
        <v>100.0</v>
      </c>
      <c r="BI60" s="2">
        <v>100.0</v>
      </c>
      <c r="BJ60" s="2">
        <v>100.0</v>
      </c>
      <c r="BK60" s="2">
        <v>100.0</v>
      </c>
      <c r="BL60" s="2">
        <v>100.0</v>
      </c>
      <c r="BM60" s="2">
        <v>100.0</v>
      </c>
      <c r="BN60" s="2">
        <v>100.0</v>
      </c>
      <c r="BO60" s="2">
        <v>100.0</v>
      </c>
      <c r="BP60" s="2">
        <v>100.0</v>
      </c>
      <c r="BQ60" s="2">
        <v>100.0</v>
      </c>
      <c r="BS60" s="3" t="str">
        <f>VLOOKUP(B60, Metadata!A:B, 2, FALSE)</f>
        <v>Europe &amp; Central Asia</v>
      </c>
    </row>
    <row r="61" hidden="1">
      <c r="A61" s="2" t="s">
        <v>184</v>
      </c>
      <c r="B61" s="2" t="s">
        <v>185</v>
      </c>
      <c r="C61" s="2" t="s">
        <v>4</v>
      </c>
      <c r="D61" s="2" t="s">
        <v>5</v>
      </c>
      <c r="AI61" s="2">
        <v>100.0</v>
      </c>
      <c r="AJ61" s="2">
        <v>100.0</v>
      </c>
      <c r="AK61" s="2">
        <v>100.0</v>
      </c>
      <c r="AL61" s="2">
        <v>100.0</v>
      </c>
      <c r="AM61" s="2">
        <v>100.0</v>
      </c>
      <c r="AN61" s="2">
        <v>100.0</v>
      </c>
      <c r="AO61" s="2">
        <v>100.0</v>
      </c>
      <c r="AP61" s="2">
        <v>100.0</v>
      </c>
      <c r="AQ61" s="2">
        <v>100.0</v>
      </c>
      <c r="AR61" s="2">
        <v>100.0</v>
      </c>
      <c r="AS61" s="2">
        <v>100.0</v>
      </c>
      <c r="AT61" s="2">
        <v>100.0</v>
      </c>
      <c r="AU61" s="2">
        <v>100.0</v>
      </c>
      <c r="AV61" s="2">
        <v>100.0</v>
      </c>
      <c r="AW61" s="2">
        <v>100.0</v>
      </c>
      <c r="AX61" s="2">
        <v>100.0</v>
      </c>
      <c r="AY61" s="2">
        <v>100.0</v>
      </c>
      <c r="AZ61" s="2">
        <v>100.0</v>
      </c>
      <c r="BA61" s="2">
        <v>100.0</v>
      </c>
      <c r="BB61" s="2">
        <v>100.0</v>
      </c>
      <c r="BC61" s="2">
        <v>100.0</v>
      </c>
      <c r="BD61" s="2">
        <v>100.0</v>
      </c>
      <c r="BE61" s="2">
        <v>100.0</v>
      </c>
      <c r="BF61" s="2">
        <v>100.0</v>
      </c>
      <c r="BG61" s="2">
        <v>100.0</v>
      </c>
      <c r="BH61" s="2">
        <v>100.0</v>
      </c>
      <c r="BI61" s="2">
        <v>100.0</v>
      </c>
      <c r="BJ61" s="2">
        <v>100.0</v>
      </c>
      <c r="BK61" s="2">
        <v>100.0</v>
      </c>
      <c r="BL61" s="2">
        <v>100.0</v>
      </c>
      <c r="BM61" s="2">
        <v>100.0</v>
      </c>
      <c r="BN61" s="2">
        <v>100.0</v>
      </c>
      <c r="BO61" s="2">
        <v>100.0</v>
      </c>
      <c r="BP61" s="2">
        <v>100.0</v>
      </c>
      <c r="BQ61" s="2">
        <v>100.0</v>
      </c>
      <c r="BS61" s="3" t="str">
        <f>VLOOKUP(B61, Metadata!A:B, 2, FALSE)</f>
        <v>Europe &amp; Central Asia</v>
      </c>
    </row>
    <row r="62" hidden="1">
      <c r="A62" s="2" t="s">
        <v>186</v>
      </c>
      <c r="B62" s="2" t="s">
        <v>187</v>
      </c>
      <c r="C62" s="2" t="s">
        <v>4</v>
      </c>
      <c r="D62" s="2" t="s">
        <v>5</v>
      </c>
      <c r="AO62" s="2">
        <v>62.0</v>
      </c>
      <c r="AP62" s="2">
        <v>56.2944946289063</v>
      </c>
      <c r="AQ62" s="2">
        <v>56.3222541809082</v>
      </c>
      <c r="AR62" s="2">
        <v>56.3451690673828</v>
      </c>
      <c r="AS62" s="2">
        <v>56.0</v>
      </c>
      <c r="AT62" s="2">
        <v>56.1</v>
      </c>
      <c r="AU62" s="2">
        <v>49.7</v>
      </c>
      <c r="AV62" s="2">
        <v>56.4</v>
      </c>
      <c r="AW62" s="2">
        <v>56.6</v>
      </c>
      <c r="AX62" s="2">
        <v>56.8</v>
      </c>
      <c r="AY62" s="2">
        <v>55.5</v>
      </c>
      <c r="AZ62" s="2">
        <v>57.2</v>
      </c>
      <c r="BA62" s="2">
        <v>57.4</v>
      </c>
      <c r="BB62" s="2">
        <v>57.6</v>
      </c>
      <c r="BC62" s="2">
        <v>57.9</v>
      </c>
      <c r="BD62" s="2">
        <v>58.1</v>
      </c>
      <c r="BE62" s="2">
        <v>54.6</v>
      </c>
      <c r="BF62" s="2">
        <v>58.6</v>
      </c>
      <c r="BG62" s="2">
        <v>58.9</v>
      </c>
      <c r="BH62" s="2">
        <v>59.1</v>
      </c>
      <c r="BI62" s="2">
        <v>59.8</v>
      </c>
      <c r="BJ62" s="2">
        <v>60.2</v>
      </c>
      <c r="BK62" s="2">
        <v>62.4</v>
      </c>
      <c r="BL62" s="2">
        <v>64.7</v>
      </c>
      <c r="BM62" s="2">
        <v>64.5</v>
      </c>
      <c r="BN62" s="2">
        <v>65.4</v>
      </c>
      <c r="BO62" s="2">
        <v>65.0</v>
      </c>
      <c r="BP62" s="2">
        <v>65.2</v>
      </c>
      <c r="BQ62" s="2">
        <v>69.2</v>
      </c>
      <c r="BS62" s="3" t="str">
        <f>VLOOKUP(B62, Metadata!A:B, 2, FALSE)</f>
        <v>Middle East &amp; North Africa</v>
      </c>
    </row>
    <row r="63" hidden="1">
      <c r="A63" s="2" t="s">
        <v>188</v>
      </c>
      <c r="B63" s="2" t="s">
        <v>189</v>
      </c>
      <c r="C63" s="2" t="s">
        <v>4</v>
      </c>
      <c r="D63" s="2" t="s">
        <v>5</v>
      </c>
      <c r="AQ63" s="2">
        <v>75.0</v>
      </c>
      <c r="AR63" s="2">
        <v>79.6219177246094</v>
      </c>
      <c r="AS63" s="2">
        <v>81.1</v>
      </c>
      <c r="AT63" s="2">
        <v>82.1</v>
      </c>
      <c r="AU63" s="2">
        <v>87.7</v>
      </c>
      <c r="AV63" s="2">
        <v>84.0</v>
      </c>
      <c r="AW63" s="2">
        <v>85.0</v>
      </c>
      <c r="AX63" s="2">
        <v>86.0</v>
      </c>
      <c r="AY63" s="2">
        <v>87.0</v>
      </c>
      <c r="AZ63" s="2">
        <v>88.1</v>
      </c>
      <c r="BA63" s="2">
        <v>90.9</v>
      </c>
      <c r="BB63" s="2">
        <v>90.2</v>
      </c>
      <c r="BC63" s="2">
        <v>91.3</v>
      </c>
      <c r="BD63" s="2">
        <v>90.1</v>
      </c>
      <c r="BE63" s="2">
        <v>93.5</v>
      </c>
      <c r="BF63" s="2">
        <v>94.6</v>
      </c>
      <c r="BG63" s="2">
        <v>95.7</v>
      </c>
      <c r="BH63" s="2">
        <v>96.7</v>
      </c>
      <c r="BI63" s="2">
        <v>97.8</v>
      </c>
      <c r="BJ63" s="2">
        <v>98.9</v>
      </c>
      <c r="BK63" s="2">
        <v>99.6</v>
      </c>
      <c r="BL63" s="2">
        <v>99.9</v>
      </c>
      <c r="BM63" s="2">
        <v>100.0</v>
      </c>
      <c r="BN63" s="2">
        <v>100.0</v>
      </c>
      <c r="BO63" s="2">
        <v>100.0</v>
      </c>
      <c r="BP63" s="2">
        <v>100.0</v>
      </c>
      <c r="BQ63" s="2">
        <v>100.0</v>
      </c>
      <c r="BS63" s="3" t="str">
        <f>VLOOKUP(B63, Metadata!A:B, 2, FALSE)</f>
        <v>Latin America &amp; Caribbean</v>
      </c>
    </row>
    <row r="64" hidden="1">
      <c r="A64" s="2" t="s">
        <v>190</v>
      </c>
      <c r="B64" s="2" t="s">
        <v>191</v>
      </c>
      <c r="C64" s="2" t="s">
        <v>4</v>
      </c>
      <c r="D64" s="2" t="s">
        <v>5</v>
      </c>
      <c r="AI64" s="2">
        <v>100.0</v>
      </c>
      <c r="AJ64" s="2">
        <v>100.0</v>
      </c>
      <c r="AK64" s="2">
        <v>100.0</v>
      </c>
      <c r="AL64" s="2">
        <v>100.0</v>
      </c>
      <c r="AM64" s="2">
        <v>100.0</v>
      </c>
      <c r="AN64" s="2">
        <v>100.0</v>
      </c>
      <c r="AO64" s="2">
        <v>100.0</v>
      </c>
      <c r="AP64" s="2">
        <v>100.0</v>
      </c>
      <c r="AQ64" s="2">
        <v>100.0</v>
      </c>
      <c r="AR64" s="2">
        <v>100.0</v>
      </c>
      <c r="AS64" s="2">
        <v>100.0</v>
      </c>
      <c r="AT64" s="2">
        <v>100.0</v>
      </c>
      <c r="AU64" s="2">
        <v>100.0</v>
      </c>
      <c r="AV64" s="2">
        <v>100.0</v>
      </c>
      <c r="AW64" s="2">
        <v>100.0</v>
      </c>
      <c r="AX64" s="2">
        <v>100.0</v>
      </c>
      <c r="AY64" s="2">
        <v>100.0</v>
      </c>
      <c r="AZ64" s="2">
        <v>100.0</v>
      </c>
      <c r="BA64" s="2">
        <v>100.0</v>
      </c>
      <c r="BB64" s="2">
        <v>100.0</v>
      </c>
      <c r="BC64" s="2">
        <v>100.0</v>
      </c>
      <c r="BD64" s="2">
        <v>100.0</v>
      </c>
      <c r="BE64" s="2">
        <v>100.0</v>
      </c>
      <c r="BF64" s="2">
        <v>100.0</v>
      </c>
      <c r="BG64" s="2">
        <v>100.0</v>
      </c>
      <c r="BH64" s="2">
        <v>100.0</v>
      </c>
      <c r="BI64" s="2">
        <v>100.0</v>
      </c>
      <c r="BJ64" s="2">
        <v>100.0</v>
      </c>
      <c r="BK64" s="2">
        <v>100.0</v>
      </c>
      <c r="BL64" s="2">
        <v>100.0</v>
      </c>
      <c r="BM64" s="2">
        <v>100.0</v>
      </c>
      <c r="BN64" s="2">
        <v>100.0</v>
      </c>
      <c r="BO64" s="2">
        <v>100.0</v>
      </c>
      <c r="BP64" s="2">
        <v>100.0</v>
      </c>
      <c r="BQ64" s="2">
        <v>100.0</v>
      </c>
      <c r="BS64" s="3" t="str">
        <f>VLOOKUP(B64, Metadata!A:B, 2, FALSE)</f>
        <v>Europe &amp; Central Asia</v>
      </c>
    </row>
    <row r="65" hidden="1">
      <c r="A65" s="2" t="s">
        <v>192</v>
      </c>
      <c r="B65" s="2" t="s">
        <v>193</v>
      </c>
      <c r="C65" s="2" t="s">
        <v>4</v>
      </c>
      <c r="D65" s="2" t="s">
        <v>5</v>
      </c>
      <c r="AJ65" s="2">
        <v>78.2</v>
      </c>
      <c r="AK65" s="2">
        <v>82.4854049682617</v>
      </c>
      <c r="AL65" s="2">
        <v>83.2554931640625</v>
      </c>
      <c r="AM65" s="2">
        <v>84.0242233276367</v>
      </c>
      <c r="AN65" s="2">
        <v>84.7909088134766</v>
      </c>
      <c r="AO65" s="2">
        <v>85.5548782348633</v>
      </c>
      <c r="AP65" s="2">
        <v>86.3154449462891</v>
      </c>
      <c r="AQ65" s="2">
        <v>87.0719375610352</v>
      </c>
      <c r="AR65" s="2">
        <v>91.0</v>
      </c>
      <c r="AS65" s="2">
        <v>88.8</v>
      </c>
      <c r="AT65" s="2">
        <v>89.8</v>
      </c>
      <c r="AU65" s="2">
        <v>89.7</v>
      </c>
      <c r="AV65" s="2">
        <v>89.2</v>
      </c>
      <c r="AW65" s="2">
        <v>90.3</v>
      </c>
      <c r="AX65" s="2">
        <v>90.1</v>
      </c>
      <c r="AY65" s="2">
        <v>90.1</v>
      </c>
      <c r="AZ65" s="2">
        <v>96.9</v>
      </c>
      <c r="BA65" s="2">
        <v>97.6</v>
      </c>
      <c r="BB65" s="2">
        <v>97.9</v>
      </c>
      <c r="BC65" s="2">
        <v>98.1</v>
      </c>
      <c r="BD65" s="2">
        <v>97.9</v>
      </c>
      <c r="BE65" s="2">
        <v>97.9</v>
      </c>
      <c r="BF65" s="2">
        <v>98.4</v>
      </c>
      <c r="BG65" s="2">
        <v>98.5</v>
      </c>
      <c r="BH65" s="2">
        <v>98.6</v>
      </c>
      <c r="BI65" s="2">
        <v>98.9</v>
      </c>
      <c r="BJ65" s="2">
        <v>100.0</v>
      </c>
      <c r="BK65" s="2">
        <v>98.9</v>
      </c>
      <c r="BL65" s="2">
        <v>99.0</v>
      </c>
      <c r="BM65" s="2">
        <v>100.0</v>
      </c>
      <c r="BN65" s="2">
        <v>98.1</v>
      </c>
      <c r="BO65" s="2">
        <v>98.1</v>
      </c>
      <c r="BP65" s="2">
        <v>99.6</v>
      </c>
      <c r="BQ65" s="2">
        <v>99.5</v>
      </c>
      <c r="BS65" s="3" t="str">
        <f>VLOOKUP(B65, Metadata!A:B, 2, FALSE)</f>
        <v>Latin America &amp; Caribbean</v>
      </c>
    </row>
    <row r="66" hidden="1">
      <c r="A66" s="2" t="s">
        <v>194</v>
      </c>
      <c r="B66" s="2" t="s">
        <v>195</v>
      </c>
      <c r="C66" s="2" t="s">
        <v>4</v>
      </c>
      <c r="D66" s="2" t="s">
        <v>5</v>
      </c>
      <c r="AS66" s="2">
        <v>98.6</v>
      </c>
      <c r="AT66" s="2">
        <v>98.6</v>
      </c>
      <c r="AU66" s="2">
        <v>98.6</v>
      </c>
      <c r="AV66" s="2">
        <v>98.6</v>
      </c>
      <c r="AW66" s="2">
        <v>98.6</v>
      </c>
      <c r="AX66" s="2">
        <v>98.6</v>
      </c>
      <c r="AY66" s="2">
        <v>98.7</v>
      </c>
      <c r="AZ66" s="2">
        <v>98.7</v>
      </c>
      <c r="BA66" s="2">
        <v>99.3</v>
      </c>
      <c r="BB66" s="2">
        <v>98.8</v>
      </c>
      <c r="BC66" s="2">
        <v>98.9</v>
      </c>
      <c r="BD66" s="2">
        <v>99.0</v>
      </c>
      <c r="BE66" s="2">
        <v>98.8</v>
      </c>
      <c r="BF66" s="2">
        <v>99.2</v>
      </c>
      <c r="BG66" s="2">
        <v>99.3</v>
      </c>
      <c r="BH66" s="2">
        <v>99.4</v>
      </c>
      <c r="BI66" s="2">
        <v>99.4</v>
      </c>
      <c r="BJ66" s="2">
        <v>99.5</v>
      </c>
      <c r="BK66" s="2">
        <v>99.6</v>
      </c>
      <c r="BL66" s="2">
        <v>99.5</v>
      </c>
      <c r="BM66" s="2">
        <v>99.7</v>
      </c>
      <c r="BN66" s="2">
        <v>99.8</v>
      </c>
      <c r="BO66" s="2">
        <v>100.0</v>
      </c>
      <c r="BP66" s="2">
        <v>100.0</v>
      </c>
      <c r="BQ66" s="2">
        <v>100.0</v>
      </c>
      <c r="BS66" s="3" t="str">
        <f>VLOOKUP(B66, Metadata!A:B, 2, FALSE)</f>
        <v>Middle East &amp; North Africa</v>
      </c>
    </row>
    <row r="67" hidden="1">
      <c r="A67" s="2" t="s">
        <v>196</v>
      </c>
      <c r="B67" s="2" t="s">
        <v>197</v>
      </c>
      <c r="C67" s="2" t="s">
        <v>4</v>
      </c>
      <c r="D67" s="2" t="s">
        <v>5</v>
      </c>
      <c r="AS67" s="2">
        <v>91.138144466845</v>
      </c>
      <c r="AT67" s="2">
        <v>91.6798073934452</v>
      </c>
      <c r="AU67" s="2">
        <v>92.1532731163709</v>
      </c>
      <c r="AV67" s="2">
        <v>92.3780477719541</v>
      </c>
      <c r="AW67" s="2">
        <v>93.2660680387974</v>
      </c>
      <c r="AX67" s="2">
        <v>92.8453003628586</v>
      </c>
      <c r="AY67" s="2">
        <v>94.0414555134156</v>
      </c>
      <c r="AZ67" s="2">
        <v>94.0513892360771</v>
      </c>
      <c r="BA67" s="2">
        <v>94.6719310490636</v>
      </c>
      <c r="BB67" s="2">
        <v>94.4276339127764</v>
      </c>
      <c r="BC67" s="2">
        <v>95.0553706554353</v>
      </c>
      <c r="BD67" s="2">
        <v>95.5816815305151</v>
      </c>
      <c r="BE67" s="2">
        <v>95.7951654492221</v>
      </c>
      <c r="BF67" s="2">
        <v>96.0928535168264</v>
      </c>
      <c r="BG67" s="2">
        <v>96.2740993565598</v>
      </c>
      <c r="BH67" s="2">
        <v>96.621825072807</v>
      </c>
      <c r="BI67" s="2">
        <v>96.7165341917277</v>
      </c>
      <c r="BJ67" s="2">
        <v>97.4453072983769</v>
      </c>
      <c r="BK67" s="2">
        <v>97.4123829747175</v>
      </c>
      <c r="BL67" s="2">
        <v>97.6371958731303</v>
      </c>
      <c r="BM67" s="2">
        <v>97.5651849682476</v>
      </c>
      <c r="BN67" s="2">
        <v>97.9599209910295</v>
      </c>
      <c r="BO67" s="2">
        <v>98.029656910797</v>
      </c>
      <c r="BP67" s="2">
        <v>98.2376383007189</v>
      </c>
      <c r="BQ67" s="2">
        <v>98.409299927655</v>
      </c>
      <c r="BS67" s="3" t="str">
        <f>VLOOKUP(B67, Metadata!A:B, 2, FALSE)</f>
        <v/>
      </c>
    </row>
    <row r="68" hidden="1">
      <c r="A68" s="2" t="s">
        <v>198</v>
      </c>
      <c r="B68" s="2" t="s">
        <v>199</v>
      </c>
      <c r="C68" s="2" t="s">
        <v>4</v>
      </c>
      <c r="D68" s="2" t="s">
        <v>5</v>
      </c>
      <c r="AL68" s="2">
        <v>55.6089748959427</v>
      </c>
      <c r="AM68" s="2">
        <v>56.371326619712</v>
      </c>
      <c r="AN68" s="2">
        <v>58.1326483271774</v>
      </c>
      <c r="AO68" s="2">
        <v>59.8705895933578</v>
      </c>
      <c r="AP68" s="2">
        <v>61.8379063844139</v>
      </c>
      <c r="AQ68" s="2">
        <v>63.3930107194029</v>
      </c>
      <c r="AR68" s="2">
        <v>66.0856638258811</v>
      </c>
      <c r="AS68" s="2">
        <v>67.500464830785</v>
      </c>
      <c r="AT68" s="2">
        <v>68.2577741474039</v>
      </c>
      <c r="AU68" s="2">
        <v>69.1513339520849</v>
      </c>
      <c r="AV68" s="2">
        <v>70.8824068395399</v>
      </c>
      <c r="AW68" s="2">
        <v>71.1114199587976</v>
      </c>
      <c r="AX68" s="2">
        <v>72.7499610041183</v>
      </c>
      <c r="AY68" s="2">
        <v>73.7999828808332</v>
      </c>
      <c r="AZ68" s="2">
        <v>75.6550383386468</v>
      </c>
      <c r="BA68" s="2">
        <v>77.4007795197428</v>
      </c>
      <c r="BB68" s="2">
        <v>78.2884199644018</v>
      </c>
      <c r="BC68" s="2">
        <v>79.3900672195475</v>
      </c>
      <c r="BD68" s="2">
        <v>81.1499828644284</v>
      </c>
      <c r="BE68" s="2">
        <v>82.0524632421742</v>
      </c>
      <c r="BF68" s="2">
        <v>83.7993125754694</v>
      </c>
      <c r="BG68" s="2">
        <v>84.7520088398511</v>
      </c>
      <c r="BH68" s="2">
        <v>86.8271544642577</v>
      </c>
      <c r="BI68" s="2">
        <v>88.3494481253503</v>
      </c>
      <c r="BJ68" s="2">
        <v>90.5086728796454</v>
      </c>
      <c r="BK68" s="2">
        <v>91.9927109222765</v>
      </c>
      <c r="BL68" s="2">
        <v>92.7895334479975</v>
      </c>
      <c r="BM68" s="2">
        <v>93.4552643956364</v>
      </c>
      <c r="BN68" s="2">
        <v>95.2423338887017</v>
      </c>
      <c r="BO68" s="2">
        <v>95.1445282423272</v>
      </c>
      <c r="BP68" s="2">
        <v>95.7044381043822</v>
      </c>
      <c r="BQ68" s="2">
        <v>96.0905949050278</v>
      </c>
      <c r="BS68" s="3" t="str">
        <f>VLOOKUP(B68, Metadata!A:B, 2, FALSE)</f>
        <v/>
      </c>
    </row>
    <row r="69" hidden="1">
      <c r="A69" s="2" t="s">
        <v>202</v>
      </c>
      <c r="B69" s="2" t="s">
        <v>203</v>
      </c>
      <c r="C69" s="2" t="s">
        <v>4</v>
      </c>
      <c r="D69" s="2" t="s">
        <v>5</v>
      </c>
      <c r="AS69" s="2">
        <v>92.0618144338661</v>
      </c>
      <c r="AT69" s="2">
        <v>92.5437982270478</v>
      </c>
      <c r="AU69" s="2">
        <v>92.9648557230822</v>
      </c>
      <c r="AV69" s="2">
        <v>93.1629584469729</v>
      </c>
      <c r="AW69" s="2">
        <v>93.9563207271355</v>
      </c>
      <c r="AX69" s="2">
        <v>93.575146301846</v>
      </c>
      <c r="AY69" s="2">
        <v>94.6471577043934</v>
      </c>
      <c r="AZ69" s="2">
        <v>94.6545403732641</v>
      </c>
      <c r="BA69" s="2">
        <v>95.2110838673573</v>
      </c>
      <c r="BB69" s="2">
        <v>94.9833280630479</v>
      </c>
      <c r="BC69" s="2">
        <v>95.5468324754052</v>
      </c>
      <c r="BD69" s="2">
        <v>96.0189473952987</v>
      </c>
      <c r="BE69" s="2">
        <v>96.2092457835614</v>
      </c>
      <c r="BF69" s="2">
        <v>96.4756466990083</v>
      </c>
      <c r="BG69" s="2">
        <v>96.6375595761929</v>
      </c>
      <c r="BH69" s="2">
        <v>96.9500599621312</v>
      </c>
      <c r="BI69" s="2">
        <v>97.0343965831866</v>
      </c>
      <c r="BJ69" s="2">
        <v>97.6915359289014</v>
      </c>
      <c r="BK69" s="2">
        <v>97.66096406877</v>
      </c>
      <c r="BL69" s="2">
        <v>97.8635835308099</v>
      </c>
      <c r="BM69" s="2">
        <v>97.7976042617313</v>
      </c>
      <c r="BN69" s="2">
        <v>98.1534049450822</v>
      </c>
      <c r="BO69" s="2">
        <v>98.2159746947416</v>
      </c>
      <c r="BP69" s="2">
        <v>98.4044624957692</v>
      </c>
      <c r="BQ69" s="2">
        <v>98.5597948238034</v>
      </c>
      <c r="BS69" s="3" t="str">
        <f>VLOOKUP(B69, Metadata!A:B, 2, FALSE)</f>
        <v/>
      </c>
    </row>
    <row r="70" hidden="1">
      <c r="A70" s="2" t="s">
        <v>204</v>
      </c>
      <c r="B70" s="2" t="s">
        <v>205</v>
      </c>
      <c r="C70" s="2" t="s">
        <v>4</v>
      </c>
      <c r="D70" s="2" t="s">
        <v>5</v>
      </c>
      <c r="AS70" s="2">
        <v>99.0003702745063</v>
      </c>
      <c r="AT70" s="2">
        <v>99.0705244325315</v>
      </c>
      <c r="AU70" s="2">
        <v>99.1500165934793</v>
      </c>
      <c r="AV70" s="2">
        <v>99.1484918236264</v>
      </c>
      <c r="AW70" s="2">
        <v>99.1355245420636</v>
      </c>
      <c r="AX70" s="2">
        <v>99.2594569491161</v>
      </c>
      <c r="AY70" s="2">
        <v>99.2193080062367</v>
      </c>
      <c r="AZ70" s="2">
        <v>99.3389908321698</v>
      </c>
      <c r="BA70" s="2">
        <v>99.3776072797545</v>
      </c>
      <c r="BB70" s="2">
        <v>99.4485621601137</v>
      </c>
      <c r="BC70" s="2">
        <v>99.6086224547018</v>
      </c>
      <c r="BD70" s="2">
        <v>99.6174754229201</v>
      </c>
      <c r="BE70" s="2">
        <v>99.6946321116736</v>
      </c>
      <c r="BF70" s="2">
        <v>99.728652515568</v>
      </c>
      <c r="BG70" s="2">
        <v>99.7847724120664</v>
      </c>
      <c r="BH70" s="2">
        <v>99.7676589877916</v>
      </c>
      <c r="BI70" s="2">
        <v>99.8659600305289</v>
      </c>
      <c r="BJ70" s="2">
        <v>99.9182925529991</v>
      </c>
      <c r="BK70" s="2">
        <v>99.9420709286304</v>
      </c>
      <c r="BL70" s="2">
        <v>99.9657744725899</v>
      </c>
      <c r="BM70" s="2">
        <v>99.9774302018769</v>
      </c>
      <c r="BN70" s="2">
        <v>99.9616464835516</v>
      </c>
      <c r="BO70" s="2">
        <v>99.9915875475848</v>
      </c>
      <c r="BP70" s="2">
        <v>100.0</v>
      </c>
      <c r="BQ70" s="2">
        <v>99.9957431987505</v>
      </c>
      <c r="BS70" s="3" t="str">
        <f>VLOOKUP(B70, Metadata!A:B, 2, FALSE)</f>
        <v/>
      </c>
    </row>
    <row r="71" hidden="1">
      <c r="A71" s="2" t="s">
        <v>206</v>
      </c>
      <c r="B71" s="2" t="s">
        <v>207</v>
      </c>
      <c r="C71" s="2" t="s">
        <v>4</v>
      </c>
      <c r="D71" s="2" t="s">
        <v>5</v>
      </c>
      <c r="AI71" s="2">
        <v>100.0</v>
      </c>
      <c r="AJ71" s="2">
        <v>100.0</v>
      </c>
      <c r="AK71" s="2">
        <v>100.0</v>
      </c>
      <c r="AL71" s="2">
        <v>100.0</v>
      </c>
      <c r="AM71" s="2">
        <v>100.0</v>
      </c>
      <c r="AN71" s="2">
        <v>99.9977549301429</v>
      </c>
      <c r="AO71" s="2">
        <v>99.9705930822189</v>
      </c>
      <c r="AP71" s="2">
        <v>99.9645850783925</v>
      </c>
      <c r="AQ71" s="2">
        <v>99.9667771365628</v>
      </c>
      <c r="AR71" s="2">
        <v>99.8693533423451</v>
      </c>
      <c r="AS71" s="2">
        <v>99.1153070613535</v>
      </c>
      <c r="AT71" s="2">
        <v>99.1655507745026</v>
      </c>
      <c r="AU71" s="2">
        <v>99.203941671041</v>
      </c>
      <c r="AV71" s="2">
        <v>99.2130325995692</v>
      </c>
      <c r="AW71" s="2">
        <v>99.2390073501008</v>
      </c>
      <c r="AX71" s="2">
        <v>99.2799004349739</v>
      </c>
      <c r="AY71" s="2">
        <v>99.3013594788162</v>
      </c>
      <c r="AZ71" s="2">
        <v>99.3630803564705</v>
      </c>
      <c r="BA71" s="2">
        <v>99.4080961406283</v>
      </c>
      <c r="BB71" s="2">
        <v>99.4661685760631</v>
      </c>
      <c r="BC71" s="2">
        <v>99.6654425122864</v>
      </c>
      <c r="BD71" s="2">
        <v>99.6639027642905</v>
      </c>
      <c r="BE71" s="2">
        <v>99.8281916226235</v>
      </c>
      <c r="BF71" s="2">
        <v>99.8495212049653</v>
      </c>
      <c r="BG71" s="2">
        <v>99.8761369699366</v>
      </c>
      <c r="BH71" s="2">
        <v>99.1677793396088</v>
      </c>
      <c r="BI71" s="2">
        <v>99.8289900286233</v>
      </c>
      <c r="BJ71" s="2">
        <v>99.96414862519</v>
      </c>
      <c r="BK71" s="2">
        <v>99.9707746763569</v>
      </c>
      <c r="BL71" s="2">
        <v>99.9534522262568</v>
      </c>
      <c r="BM71" s="2">
        <v>99.9760273251971</v>
      </c>
      <c r="BN71" s="2">
        <v>99.9881930522021</v>
      </c>
      <c r="BO71" s="2">
        <v>99.997731634024</v>
      </c>
      <c r="BP71" s="2">
        <v>100.0</v>
      </c>
      <c r="BQ71" s="2">
        <v>99.998857471373</v>
      </c>
      <c r="BS71" s="3" t="str">
        <f>VLOOKUP(B71, Metadata!A:B, 2, FALSE)</f>
        <v/>
      </c>
    </row>
    <row r="72" hidden="1">
      <c r="A72" s="2" t="s">
        <v>208</v>
      </c>
      <c r="B72" s="2" t="s">
        <v>209</v>
      </c>
      <c r="C72" s="2" t="s">
        <v>4</v>
      </c>
      <c r="D72" s="2" t="s">
        <v>5</v>
      </c>
      <c r="AN72" s="2">
        <v>89.830167</v>
      </c>
      <c r="AO72" s="2">
        <v>92.0513763427734</v>
      </c>
      <c r="AP72" s="2">
        <v>92.429817199707</v>
      </c>
      <c r="AQ72" s="2">
        <v>92.726642</v>
      </c>
      <c r="AR72" s="2">
        <v>93.071434</v>
      </c>
      <c r="AS72" s="2">
        <v>93.7</v>
      </c>
      <c r="AT72" s="2">
        <v>94.0</v>
      </c>
      <c r="AU72" s="2">
        <v>94.2</v>
      </c>
      <c r="AV72" s="2">
        <v>95.0</v>
      </c>
      <c r="AW72" s="2">
        <v>94.8</v>
      </c>
      <c r="AX72" s="2">
        <v>95.8</v>
      </c>
      <c r="AY72" s="2">
        <v>96.3</v>
      </c>
      <c r="AZ72" s="2">
        <v>96.8</v>
      </c>
      <c r="BA72" s="2">
        <v>97.2</v>
      </c>
      <c r="BB72" s="2">
        <v>96.5</v>
      </c>
      <c r="BC72" s="2">
        <v>97.5</v>
      </c>
      <c r="BD72" s="2">
        <v>96.9</v>
      </c>
      <c r="BE72" s="2">
        <v>97.2</v>
      </c>
      <c r="BF72" s="2">
        <v>98.0</v>
      </c>
      <c r="BG72" s="2">
        <v>99.0</v>
      </c>
      <c r="BH72" s="2">
        <v>98.8</v>
      </c>
      <c r="BI72" s="2">
        <v>98.7</v>
      </c>
      <c r="BJ72" s="2">
        <v>99.2</v>
      </c>
      <c r="BK72" s="2">
        <v>98.7</v>
      </c>
      <c r="BL72" s="2">
        <v>99.1</v>
      </c>
      <c r="BM72" s="2">
        <v>98.8</v>
      </c>
      <c r="BN72" s="2">
        <v>100.0</v>
      </c>
      <c r="BO72" s="2">
        <v>100.0</v>
      </c>
      <c r="BP72" s="2">
        <v>98.7</v>
      </c>
      <c r="BQ72" s="2">
        <v>98.5</v>
      </c>
      <c r="BS72" s="3" t="str">
        <f>VLOOKUP(B72, Metadata!A:B, 2, FALSE)</f>
        <v>Latin America &amp; Caribbean</v>
      </c>
    </row>
    <row r="73" hidden="1">
      <c r="A73" s="2" t="s">
        <v>210</v>
      </c>
      <c r="B73" s="2" t="s">
        <v>211</v>
      </c>
      <c r="C73" s="2" t="s">
        <v>4</v>
      </c>
      <c r="D73" s="2" t="s">
        <v>5</v>
      </c>
      <c r="AK73" s="2">
        <v>93.4</v>
      </c>
      <c r="AL73" s="2">
        <v>95.3922424316406</v>
      </c>
      <c r="AM73" s="2">
        <v>95.6485366821289</v>
      </c>
      <c r="AN73" s="2">
        <v>95.5</v>
      </c>
      <c r="AO73" s="2">
        <v>96.1543273925781</v>
      </c>
      <c r="AP73" s="2">
        <v>96.4024658203125</v>
      </c>
      <c r="AQ73" s="2">
        <v>96.6465225219727</v>
      </c>
      <c r="AR73" s="2">
        <v>96.8857345581055</v>
      </c>
      <c r="AS73" s="2">
        <v>97.7</v>
      </c>
      <c r="AT73" s="2">
        <v>97.4</v>
      </c>
      <c r="AU73" s="2">
        <v>97.5</v>
      </c>
      <c r="AV73" s="2">
        <v>98.8</v>
      </c>
      <c r="AW73" s="2">
        <v>97.8</v>
      </c>
      <c r="AX73" s="2">
        <v>99.4</v>
      </c>
      <c r="AY73" s="2">
        <v>99.0</v>
      </c>
      <c r="AZ73" s="2">
        <v>98.4</v>
      </c>
      <c r="BA73" s="2">
        <v>99.8</v>
      </c>
      <c r="BB73" s="2">
        <v>98.9</v>
      </c>
      <c r="BC73" s="2">
        <v>99.4</v>
      </c>
      <c r="BD73" s="2">
        <v>99.4</v>
      </c>
      <c r="BE73" s="2">
        <v>99.7</v>
      </c>
      <c r="BF73" s="2">
        <v>99.9</v>
      </c>
      <c r="BG73" s="2">
        <v>99.8</v>
      </c>
      <c r="BH73" s="2">
        <v>99.3</v>
      </c>
      <c r="BI73" s="2">
        <v>100.0</v>
      </c>
      <c r="BJ73" s="2">
        <v>100.0</v>
      </c>
      <c r="BK73" s="2">
        <v>100.0</v>
      </c>
      <c r="BL73" s="2">
        <v>100.0</v>
      </c>
      <c r="BM73" s="2">
        <v>100.0</v>
      </c>
      <c r="BN73" s="2">
        <v>100.0</v>
      </c>
      <c r="BO73" s="2">
        <v>100.0</v>
      </c>
      <c r="BP73" s="2">
        <v>100.0</v>
      </c>
      <c r="BQ73" s="2">
        <v>100.0</v>
      </c>
      <c r="BS73" s="3" t="str">
        <f>VLOOKUP(B73, Metadata!A:B, 2, FALSE)</f>
        <v>Middle East &amp; North Africa</v>
      </c>
    </row>
    <row r="74" hidden="1">
      <c r="A74" s="2" t="s">
        <v>212</v>
      </c>
      <c r="B74" s="2" t="s">
        <v>213</v>
      </c>
      <c r="C74" s="2" t="s">
        <v>4</v>
      </c>
      <c r="D74" s="2" t="s">
        <v>5</v>
      </c>
      <c r="AI74" s="2">
        <v>100.0</v>
      </c>
      <c r="AJ74" s="2">
        <v>100.0</v>
      </c>
      <c r="AK74" s="2">
        <v>100.0</v>
      </c>
      <c r="AL74" s="2">
        <v>100.0</v>
      </c>
      <c r="AM74" s="2">
        <v>100.0</v>
      </c>
      <c r="AN74" s="2">
        <v>100.0</v>
      </c>
      <c r="AO74" s="2">
        <v>100.0</v>
      </c>
      <c r="AP74" s="2">
        <v>100.0</v>
      </c>
      <c r="AQ74" s="2">
        <v>100.0</v>
      </c>
      <c r="AR74" s="2">
        <v>100.0</v>
      </c>
      <c r="AS74" s="2">
        <v>99.7029236186249</v>
      </c>
      <c r="AT74" s="2">
        <v>99.7214642967914</v>
      </c>
      <c r="AU74" s="2">
        <v>99.7384741566317</v>
      </c>
      <c r="AV74" s="2">
        <v>99.753387835007</v>
      </c>
      <c r="AW74" s="2">
        <v>99.7659822778921</v>
      </c>
      <c r="AX74" s="2">
        <v>99.7785791255569</v>
      </c>
      <c r="AY74" s="2">
        <v>99.792661996831</v>
      </c>
      <c r="AZ74" s="2">
        <v>99.808347463674</v>
      </c>
      <c r="BA74" s="2">
        <v>99.8260609152333</v>
      </c>
      <c r="BB74" s="2">
        <v>99.8433833887611</v>
      </c>
      <c r="BC74" s="2">
        <v>99.8581506439913</v>
      </c>
      <c r="BD74" s="2">
        <v>99.8715171269448</v>
      </c>
      <c r="BE74" s="2">
        <v>99.8888620012069</v>
      </c>
      <c r="BF74" s="2">
        <v>99.903520446207</v>
      </c>
      <c r="BG74" s="2">
        <v>99.916972608255</v>
      </c>
      <c r="BH74" s="2">
        <v>99.9321851559415</v>
      </c>
      <c r="BI74" s="2">
        <v>99.9469722581204</v>
      </c>
      <c r="BJ74" s="2">
        <v>99.9632363837118</v>
      </c>
      <c r="BK74" s="2">
        <v>99.9752371882724</v>
      </c>
      <c r="BL74" s="2">
        <v>99.9850093995461</v>
      </c>
      <c r="BM74" s="2">
        <v>99.9944412898777</v>
      </c>
      <c r="BN74" s="2">
        <v>99.9963206008424</v>
      </c>
      <c r="BO74" s="2">
        <v>100.0</v>
      </c>
      <c r="BP74" s="2">
        <v>100.0</v>
      </c>
      <c r="BQ74" s="2">
        <v>100.0</v>
      </c>
      <c r="BS74" s="3" t="str">
        <f>VLOOKUP(B74, Metadata!A:B, 2, FALSE)</f>
        <v/>
      </c>
    </row>
    <row r="75">
      <c r="A75" s="2" t="s">
        <v>20</v>
      </c>
      <c r="B75" s="2" t="s">
        <v>21</v>
      </c>
      <c r="C75" s="2" t="s">
        <v>4</v>
      </c>
      <c r="D75" s="2" t="s">
        <v>5</v>
      </c>
      <c r="AN75" s="2">
        <v>22.9</v>
      </c>
      <c r="AO75" s="2">
        <v>24.7554473876953</v>
      </c>
      <c r="AP75" s="2">
        <v>25.8746109008789</v>
      </c>
      <c r="AQ75" s="2">
        <v>26.9896945953369</v>
      </c>
      <c r="AR75" s="2">
        <v>28.0999355316162</v>
      </c>
      <c r="AS75" s="2">
        <v>29.3</v>
      </c>
      <c r="AT75" s="2">
        <v>30.3</v>
      </c>
      <c r="AU75" s="2">
        <v>32.2</v>
      </c>
      <c r="AV75" s="2">
        <v>32.4</v>
      </c>
      <c r="AW75" s="2">
        <v>33.4</v>
      </c>
      <c r="AX75" s="2">
        <v>34.5</v>
      </c>
      <c r="AY75" s="2">
        <v>35.6</v>
      </c>
      <c r="AZ75" s="2">
        <v>36.7</v>
      </c>
      <c r="BA75" s="2">
        <v>37.8</v>
      </c>
      <c r="BB75" s="2">
        <v>38.9</v>
      </c>
      <c r="BC75" s="2">
        <v>40.1</v>
      </c>
      <c r="BD75" s="2">
        <v>41.2</v>
      </c>
      <c r="BE75" s="2">
        <v>42.3</v>
      </c>
      <c r="BF75" s="2">
        <v>43.5</v>
      </c>
      <c r="BG75" s="2">
        <v>44.6</v>
      </c>
      <c r="BH75" s="2">
        <v>45.8</v>
      </c>
      <c r="BI75" s="2">
        <v>46.9</v>
      </c>
      <c r="BJ75" s="2">
        <v>48.0</v>
      </c>
      <c r="BK75" s="2">
        <v>49.1</v>
      </c>
      <c r="BL75" s="2">
        <v>50.3</v>
      </c>
      <c r="BM75" s="2">
        <v>51.4</v>
      </c>
      <c r="BN75" s="2">
        <v>52.5</v>
      </c>
      <c r="BO75" s="2">
        <v>55.4</v>
      </c>
      <c r="BP75" s="2">
        <v>54.4</v>
      </c>
      <c r="BQ75" s="2">
        <v>55.3</v>
      </c>
      <c r="BS75" s="3" t="str">
        <f>VLOOKUP(B75, Metadata!A:B, 2, FALSE)</f>
        <v>Sub-Saharan Africa</v>
      </c>
      <c r="BT75" s="3">
        <f>VLOOKUP(B71,Population!A:B,2,FALSE)*(1-BP71/100)</f>
        <v>0</v>
      </c>
    </row>
    <row r="76" hidden="1">
      <c r="A76" s="2" t="s">
        <v>214</v>
      </c>
      <c r="B76" s="2" t="s">
        <v>215</v>
      </c>
      <c r="C76" s="2" t="s">
        <v>4</v>
      </c>
      <c r="D76" s="2" t="s">
        <v>5</v>
      </c>
      <c r="AI76" s="2">
        <v>100.0</v>
      </c>
      <c r="AJ76" s="2">
        <v>100.0</v>
      </c>
      <c r="AK76" s="2">
        <v>100.0</v>
      </c>
      <c r="AL76" s="2">
        <v>100.0</v>
      </c>
      <c r="AM76" s="2">
        <v>100.0</v>
      </c>
      <c r="AN76" s="2">
        <v>100.0</v>
      </c>
      <c r="AO76" s="2">
        <v>100.0</v>
      </c>
      <c r="AP76" s="2">
        <v>100.0</v>
      </c>
      <c r="AQ76" s="2">
        <v>100.0</v>
      </c>
      <c r="AR76" s="2">
        <v>100.0</v>
      </c>
      <c r="AS76" s="2">
        <v>100.0</v>
      </c>
      <c r="AT76" s="2">
        <v>100.0</v>
      </c>
      <c r="AU76" s="2">
        <v>100.0</v>
      </c>
      <c r="AV76" s="2">
        <v>100.0</v>
      </c>
      <c r="AW76" s="2">
        <v>100.0</v>
      </c>
      <c r="AX76" s="2">
        <v>100.0</v>
      </c>
      <c r="AY76" s="2">
        <v>100.0</v>
      </c>
      <c r="AZ76" s="2">
        <v>100.0</v>
      </c>
      <c r="BA76" s="2">
        <v>100.0</v>
      </c>
      <c r="BB76" s="2">
        <v>100.0</v>
      </c>
      <c r="BC76" s="2">
        <v>100.0</v>
      </c>
      <c r="BD76" s="2">
        <v>100.0</v>
      </c>
      <c r="BE76" s="2">
        <v>100.0</v>
      </c>
      <c r="BF76" s="2">
        <v>100.0</v>
      </c>
      <c r="BG76" s="2">
        <v>100.0</v>
      </c>
      <c r="BH76" s="2">
        <v>100.0</v>
      </c>
      <c r="BI76" s="2">
        <v>100.0</v>
      </c>
      <c r="BJ76" s="2">
        <v>100.0</v>
      </c>
      <c r="BK76" s="2">
        <v>100.0</v>
      </c>
      <c r="BL76" s="2">
        <v>100.0</v>
      </c>
      <c r="BM76" s="2">
        <v>100.0</v>
      </c>
      <c r="BN76" s="2">
        <v>100.0</v>
      </c>
      <c r="BO76" s="2">
        <v>100.0</v>
      </c>
      <c r="BP76" s="2">
        <v>100.0</v>
      </c>
      <c r="BQ76" s="2">
        <v>100.0</v>
      </c>
      <c r="BS76" s="3" t="str">
        <f>VLOOKUP(B76, Metadata!A:B, 2, FALSE)</f>
        <v>Europe &amp; Central Asia</v>
      </c>
    </row>
    <row r="77" hidden="1">
      <c r="A77" s="2" t="s">
        <v>216</v>
      </c>
      <c r="B77" s="2" t="s">
        <v>217</v>
      </c>
      <c r="C77" s="2" t="s">
        <v>4</v>
      </c>
      <c r="D77" s="2" t="s">
        <v>5</v>
      </c>
      <c r="AI77" s="2">
        <v>100.0</v>
      </c>
      <c r="AJ77" s="2">
        <v>100.0</v>
      </c>
      <c r="AK77" s="2">
        <v>100.0</v>
      </c>
      <c r="AL77" s="2">
        <v>100.0</v>
      </c>
      <c r="AM77" s="2">
        <v>100.0</v>
      </c>
      <c r="AN77" s="2">
        <v>100.0</v>
      </c>
      <c r="AO77" s="2">
        <v>100.0</v>
      </c>
      <c r="AP77" s="2">
        <v>100.0</v>
      </c>
      <c r="AQ77" s="2">
        <v>100.0</v>
      </c>
      <c r="AR77" s="2">
        <v>100.0</v>
      </c>
      <c r="AS77" s="2">
        <v>100.0</v>
      </c>
      <c r="AT77" s="2">
        <v>100.0</v>
      </c>
      <c r="AU77" s="2">
        <v>100.0</v>
      </c>
      <c r="AV77" s="2">
        <v>100.0</v>
      </c>
      <c r="AW77" s="2">
        <v>100.0</v>
      </c>
      <c r="AX77" s="2">
        <v>100.0</v>
      </c>
      <c r="AY77" s="2">
        <v>100.0</v>
      </c>
      <c r="AZ77" s="2">
        <v>100.0</v>
      </c>
      <c r="BA77" s="2">
        <v>100.0</v>
      </c>
      <c r="BB77" s="2">
        <v>100.0</v>
      </c>
      <c r="BC77" s="2">
        <v>100.0</v>
      </c>
      <c r="BD77" s="2">
        <v>100.0</v>
      </c>
      <c r="BE77" s="2">
        <v>100.0</v>
      </c>
      <c r="BF77" s="2">
        <v>100.0</v>
      </c>
      <c r="BG77" s="2">
        <v>100.0</v>
      </c>
      <c r="BH77" s="2">
        <v>100.0</v>
      </c>
      <c r="BI77" s="2">
        <v>100.0</v>
      </c>
      <c r="BJ77" s="2">
        <v>100.0</v>
      </c>
      <c r="BK77" s="2">
        <v>100.0</v>
      </c>
      <c r="BL77" s="2">
        <v>100.0</v>
      </c>
      <c r="BM77" s="2">
        <v>100.0</v>
      </c>
      <c r="BN77" s="2">
        <v>100.0</v>
      </c>
      <c r="BO77" s="2">
        <v>100.0</v>
      </c>
      <c r="BP77" s="2">
        <v>100.0</v>
      </c>
      <c r="BQ77" s="2">
        <v>100.0</v>
      </c>
      <c r="BS77" s="3" t="str">
        <f>VLOOKUP(B77, Metadata!A:B, 2, FALSE)</f>
        <v>Europe &amp; Central Asia</v>
      </c>
    </row>
    <row r="78">
      <c r="A78" s="2" t="s">
        <v>140</v>
      </c>
      <c r="B78" s="2" t="s">
        <v>141</v>
      </c>
      <c r="C78" s="2" t="s">
        <v>4</v>
      </c>
      <c r="D78" s="2" t="s">
        <v>5</v>
      </c>
      <c r="AS78" s="2">
        <v>12.7</v>
      </c>
      <c r="AT78" s="2">
        <v>10.2</v>
      </c>
      <c r="AU78" s="2">
        <v>11.9</v>
      </c>
      <c r="AV78" s="2">
        <v>13.5</v>
      </c>
      <c r="AW78" s="2">
        <v>15.2</v>
      </c>
      <c r="AX78" s="2">
        <v>14.0</v>
      </c>
      <c r="AY78" s="2">
        <v>18.6</v>
      </c>
      <c r="AZ78" s="2">
        <v>20.3</v>
      </c>
      <c r="BA78" s="2">
        <v>22.0</v>
      </c>
      <c r="BB78" s="2">
        <v>23.7</v>
      </c>
      <c r="BC78" s="2">
        <v>25.5</v>
      </c>
      <c r="BD78" s="2">
        <v>23.0</v>
      </c>
      <c r="BE78" s="2">
        <v>29.0</v>
      </c>
      <c r="BF78" s="2">
        <v>30.8</v>
      </c>
      <c r="BG78" s="2">
        <v>27.2</v>
      </c>
      <c r="BH78" s="2">
        <v>29.0</v>
      </c>
      <c r="BI78" s="2">
        <v>42.9</v>
      </c>
      <c r="BJ78" s="2">
        <v>44.3</v>
      </c>
      <c r="BK78" s="2">
        <v>44.8</v>
      </c>
      <c r="BL78" s="2">
        <v>48.0</v>
      </c>
      <c r="BM78" s="2">
        <v>51.1</v>
      </c>
      <c r="BN78" s="2">
        <v>54.2</v>
      </c>
      <c r="BO78" s="2">
        <v>55.0</v>
      </c>
      <c r="BP78" s="2">
        <v>55.4</v>
      </c>
      <c r="BQ78" s="2">
        <v>56.6</v>
      </c>
      <c r="BS78" s="3" t="str">
        <f>VLOOKUP(B78, Metadata!A:B, 2, FALSE)</f>
        <v>Sub-Saharan Africa</v>
      </c>
      <c r="BT78" s="3">
        <f>VLOOKUP(B74,Population!A:B,2,FALSE)*(1-BP74/100)</f>
        <v>0</v>
      </c>
    </row>
    <row r="79" hidden="1">
      <c r="A79" s="2" t="s">
        <v>219</v>
      </c>
      <c r="B79" s="2" t="s">
        <v>220</v>
      </c>
      <c r="C79" s="2" t="s">
        <v>4</v>
      </c>
      <c r="D79" s="2" t="s">
        <v>5</v>
      </c>
      <c r="AI79" s="2">
        <v>100.0</v>
      </c>
      <c r="AJ79" s="2">
        <v>100.0</v>
      </c>
      <c r="AK79" s="2">
        <v>100.0</v>
      </c>
      <c r="AL79" s="2">
        <v>100.0</v>
      </c>
      <c r="AM79" s="2">
        <v>100.0</v>
      </c>
      <c r="AN79" s="2">
        <v>100.0</v>
      </c>
      <c r="AO79" s="2">
        <v>100.0</v>
      </c>
      <c r="AP79" s="2">
        <v>100.0</v>
      </c>
      <c r="AQ79" s="2">
        <v>100.0</v>
      </c>
      <c r="AR79" s="2">
        <v>100.0</v>
      </c>
      <c r="AS79" s="2">
        <v>99.4761898580312</v>
      </c>
      <c r="AT79" s="2">
        <v>99.5050444841847</v>
      </c>
      <c r="AU79" s="2">
        <v>99.5387158579328</v>
      </c>
      <c r="AV79" s="2">
        <v>99.5539907205916</v>
      </c>
      <c r="AW79" s="2">
        <v>99.5758248331858</v>
      </c>
      <c r="AX79" s="2">
        <v>99.5913707294114</v>
      </c>
      <c r="AY79" s="2">
        <v>99.6188396472415</v>
      </c>
      <c r="AZ79" s="2">
        <v>99.6464075255034</v>
      </c>
      <c r="BA79" s="2">
        <v>99.6825303996653</v>
      </c>
      <c r="BB79" s="2">
        <v>99.7290075706151</v>
      </c>
      <c r="BC79" s="2">
        <v>99.7553972530963</v>
      </c>
      <c r="BD79" s="2">
        <v>99.7801178323542</v>
      </c>
      <c r="BE79" s="2">
        <v>99.8125886995878</v>
      </c>
      <c r="BF79" s="2">
        <v>99.8381173752727</v>
      </c>
      <c r="BG79" s="2">
        <v>99.8626029552248</v>
      </c>
      <c r="BH79" s="2">
        <v>99.8929116032593</v>
      </c>
      <c r="BI79" s="2">
        <v>99.9182637194093</v>
      </c>
      <c r="BJ79" s="2">
        <v>99.9709724278479</v>
      </c>
      <c r="BK79" s="2">
        <v>99.9717103637088</v>
      </c>
      <c r="BL79" s="2">
        <v>99.9881556120147</v>
      </c>
      <c r="BM79" s="2">
        <v>99.9956022901904</v>
      </c>
      <c r="BN79" s="2">
        <v>99.997083420627</v>
      </c>
      <c r="BO79" s="2">
        <v>100.0</v>
      </c>
      <c r="BP79" s="2">
        <v>100.0</v>
      </c>
      <c r="BQ79" s="2">
        <v>100.0</v>
      </c>
      <c r="BS79" s="3" t="str">
        <f>VLOOKUP(B79, Metadata!A:B, 2, FALSE)</f>
        <v/>
      </c>
    </row>
    <row r="80" hidden="1">
      <c r="A80" s="2" t="s">
        <v>221</v>
      </c>
      <c r="B80" s="2" t="s">
        <v>222</v>
      </c>
      <c r="C80" s="2" t="s">
        <v>4</v>
      </c>
      <c r="D80" s="2" t="s">
        <v>5</v>
      </c>
      <c r="AI80" s="2">
        <v>100.0</v>
      </c>
      <c r="AJ80" s="2">
        <v>100.0</v>
      </c>
      <c r="AK80" s="2">
        <v>100.0</v>
      </c>
      <c r="AL80" s="2">
        <v>100.0</v>
      </c>
      <c r="AM80" s="2">
        <v>100.0</v>
      </c>
      <c r="AN80" s="2">
        <v>100.0</v>
      </c>
      <c r="AO80" s="2">
        <v>100.0</v>
      </c>
      <c r="AP80" s="2">
        <v>100.0</v>
      </c>
      <c r="AQ80" s="2">
        <v>100.0</v>
      </c>
      <c r="AR80" s="2">
        <v>100.0</v>
      </c>
      <c r="AS80" s="2">
        <v>100.0</v>
      </c>
      <c r="AT80" s="2">
        <v>100.0</v>
      </c>
      <c r="AU80" s="2">
        <v>100.0</v>
      </c>
      <c r="AV80" s="2">
        <v>100.0</v>
      </c>
      <c r="AW80" s="2">
        <v>100.0</v>
      </c>
      <c r="AX80" s="2">
        <v>100.0</v>
      </c>
      <c r="AY80" s="2">
        <v>100.0</v>
      </c>
      <c r="AZ80" s="2">
        <v>100.0</v>
      </c>
      <c r="BA80" s="2">
        <v>100.0</v>
      </c>
      <c r="BB80" s="2">
        <v>100.0</v>
      </c>
      <c r="BC80" s="2">
        <v>100.0</v>
      </c>
      <c r="BD80" s="2">
        <v>100.0</v>
      </c>
      <c r="BE80" s="2">
        <v>100.0</v>
      </c>
      <c r="BF80" s="2">
        <v>100.0</v>
      </c>
      <c r="BG80" s="2">
        <v>100.0</v>
      </c>
      <c r="BH80" s="2">
        <v>100.0</v>
      </c>
      <c r="BI80" s="2">
        <v>100.0</v>
      </c>
      <c r="BJ80" s="2">
        <v>100.0</v>
      </c>
      <c r="BK80" s="2">
        <v>100.0</v>
      </c>
      <c r="BL80" s="2">
        <v>100.0</v>
      </c>
      <c r="BM80" s="2">
        <v>100.0</v>
      </c>
      <c r="BN80" s="2">
        <v>100.0</v>
      </c>
      <c r="BO80" s="2">
        <v>100.0</v>
      </c>
      <c r="BP80" s="2">
        <v>100.0</v>
      </c>
      <c r="BQ80" s="2">
        <v>100.0</v>
      </c>
      <c r="BS80" s="3" t="str">
        <f>VLOOKUP(B80, Metadata!A:B, 2, FALSE)</f>
        <v>Europe &amp; Central Asia</v>
      </c>
    </row>
    <row r="81" hidden="1">
      <c r="A81" s="2" t="s">
        <v>223</v>
      </c>
      <c r="B81" s="2" t="s">
        <v>224</v>
      </c>
      <c r="C81" s="2" t="s">
        <v>4</v>
      </c>
      <c r="D81" s="2" t="s">
        <v>5</v>
      </c>
      <c r="AO81" s="2">
        <v>66.9</v>
      </c>
      <c r="AP81" s="2">
        <v>71.7715148925781</v>
      </c>
      <c r="AQ81" s="2">
        <v>73.0895843505859</v>
      </c>
      <c r="AR81" s="2">
        <v>74.4028167724609</v>
      </c>
      <c r="AS81" s="2">
        <v>76.8</v>
      </c>
      <c r="AT81" s="2">
        <v>77.7</v>
      </c>
      <c r="AU81" s="2">
        <v>79.6</v>
      </c>
      <c r="AV81" s="2">
        <v>80.0</v>
      </c>
      <c r="AW81" s="2">
        <v>80.6</v>
      </c>
      <c r="AX81" s="2">
        <v>81.6</v>
      </c>
      <c r="AY81" s="2">
        <v>82.6</v>
      </c>
      <c r="AZ81" s="2">
        <v>88.9</v>
      </c>
      <c r="BA81" s="2">
        <v>86.2</v>
      </c>
      <c r="BB81" s="2">
        <v>85.6</v>
      </c>
      <c r="BC81" s="2">
        <v>92.4</v>
      </c>
      <c r="BD81" s="2">
        <v>92.5</v>
      </c>
      <c r="BE81" s="2">
        <v>92.6</v>
      </c>
      <c r="BF81" s="2">
        <v>91.8</v>
      </c>
      <c r="BG81" s="2">
        <v>93.0</v>
      </c>
      <c r="BH81" s="2">
        <v>93.2</v>
      </c>
      <c r="BI81" s="2">
        <v>93.4</v>
      </c>
      <c r="BJ81" s="2">
        <v>96.0</v>
      </c>
      <c r="BK81" s="2">
        <v>95.1</v>
      </c>
      <c r="BL81" s="2">
        <v>96.1</v>
      </c>
      <c r="BM81" s="2">
        <v>97.1</v>
      </c>
      <c r="BN81" s="2">
        <v>92.1</v>
      </c>
      <c r="BO81" s="2">
        <v>92.0</v>
      </c>
      <c r="BP81" s="2">
        <v>99.3</v>
      </c>
      <c r="BQ81" s="2">
        <v>95.9</v>
      </c>
      <c r="BS81" s="3" t="str">
        <f>VLOOKUP(B81, Metadata!A:B, 2, FALSE)</f>
        <v>East Asia &amp; Pacific</v>
      </c>
    </row>
    <row r="82" hidden="1">
      <c r="A82" s="2" t="s">
        <v>225</v>
      </c>
      <c r="B82" s="2" t="s">
        <v>226</v>
      </c>
      <c r="C82" s="2" t="s">
        <v>4</v>
      </c>
      <c r="D82" s="2" t="s">
        <v>5</v>
      </c>
      <c r="AI82" s="2">
        <v>100.0</v>
      </c>
      <c r="AJ82" s="2">
        <v>100.0</v>
      </c>
      <c r="AK82" s="2">
        <v>100.0</v>
      </c>
      <c r="AL82" s="2">
        <v>100.0</v>
      </c>
      <c r="AM82" s="2">
        <v>100.0</v>
      </c>
      <c r="AN82" s="2">
        <v>100.0</v>
      </c>
      <c r="AO82" s="2">
        <v>100.0</v>
      </c>
      <c r="AP82" s="2">
        <v>100.0</v>
      </c>
      <c r="AQ82" s="2">
        <v>100.0</v>
      </c>
      <c r="AR82" s="2">
        <v>100.0</v>
      </c>
      <c r="AS82" s="2">
        <v>100.0</v>
      </c>
      <c r="AT82" s="2">
        <v>100.0</v>
      </c>
      <c r="AU82" s="2">
        <v>100.0</v>
      </c>
      <c r="AV82" s="2">
        <v>100.0</v>
      </c>
      <c r="AW82" s="2">
        <v>100.0</v>
      </c>
      <c r="AX82" s="2">
        <v>100.0</v>
      </c>
      <c r="AY82" s="2">
        <v>100.0</v>
      </c>
      <c r="AZ82" s="2">
        <v>100.0</v>
      </c>
      <c r="BA82" s="2">
        <v>100.0</v>
      </c>
      <c r="BB82" s="2">
        <v>100.0</v>
      </c>
      <c r="BC82" s="2">
        <v>100.0</v>
      </c>
      <c r="BD82" s="2">
        <v>100.0</v>
      </c>
      <c r="BE82" s="2">
        <v>100.0</v>
      </c>
      <c r="BF82" s="2">
        <v>100.0</v>
      </c>
      <c r="BG82" s="2">
        <v>100.0</v>
      </c>
      <c r="BH82" s="2">
        <v>100.0</v>
      </c>
      <c r="BI82" s="2">
        <v>100.0</v>
      </c>
      <c r="BJ82" s="2">
        <v>100.0</v>
      </c>
      <c r="BK82" s="2">
        <v>100.0</v>
      </c>
      <c r="BL82" s="2">
        <v>100.0</v>
      </c>
      <c r="BM82" s="2">
        <v>100.0</v>
      </c>
      <c r="BN82" s="2">
        <v>100.0</v>
      </c>
      <c r="BO82" s="2">
        <v>100.0</v>
      </c>
      <c r="BP82" s="2">
        <v>100.0</v>
      </c>
      <c r="BQ82" s="2">
        <v>100.0</v>
      </c>
      <c r="BS82" s="3" t="str">
        <f>VLOOKUP(B82, Metadata!A:B, 2, FALSE)</f>
        <v>Europe &amp; Central Asia</v>
      </c>
    </row>
    <row r="83" hidden="1">
      <c r="A83" s="2" t="s">
        <v>227</v>
      </c>
      <c r="B83" s="2" t="s">
        <v>228</v>
      </c>
      <c r="C83" s="2" t="s">
        <v>4</v>
      </c>
      <c r="D83" s="2" t="s">
        <v>5</v>
      </c>
      <c r="AI83" s="2">
        <v>100.0</v>
      </c>
      <c r="AJ83" s="2">
        <v>100.0</v>
      </c>
      <c r="AK83" s="2">
        <v>100.0</v>
      </c>
      <c r="AL83" s="2">
        <v>100.0</v>
      </c>
      <c r="AM83" s="2">
        <v>100.0</v>
      </c>
      <c r="AN83" s="2">
        <v>100.0</v>
      </c>
      <c r="AO83" s="2">
        <v>100.0</v>
      </c>
      <c r="AP83" s="2">
        <v>100.0</v>
      </c>
      <c r="AQ83" s="2">
        <v>100.0</v>
      </c>
      <c r="AR83" s="2">
        <v>100.0</v>
      </c>
      <c r="AS83" s="2">
        <v>100.0</v>
      </c>
      <c r="AT83" s="2">
        <v>100.0</v>
      </c>
      <c r="AU83" s="2">
        <v>100.0</v>
      </c>
      <c r="AV83" s="2">
        <v>100.0</v>
      </c>
      <c r="AW83" s="2">
        <v>100.0</v>
      </c>
      <c r="AX83" s="2">
        <v>100.0</v>
      </c>
      <c r="AY83" s="2">
        <v>100.0</v>
      </c>
      <c r="AZ83" s="2">
        <v>100.0</v>
      </c>
      <c r="BA83" s="2">
        <v>100.0</v>
      </c>
      <c r="BB83" s="2">
        <v>100.0</v>
      </c>
      <c r="BC83" s="2">
        <v>100.0</v>
      </c>
      <c r="BD83" s="2">
        <v>100.0</v>
      </c>
      <c r="BE83" s="2">
        <v>100.0</v>
      </c>
      <c r="BF83" s="2">
        <v>100.0</v>
      </c>
      <c r="BG83" s="2">
        <v>100.0</v>
      </c>
      <c r="BH83" s="2">
        <v>100.0</v>
      </c>
      <c r="BI83" s="2">
        <v>100.0</v>
      </c>
      <c r="BJ83" s="2">
        <v>100.0</v>
      </c>
      <c r="BK83" s="2">
        <v>100.0</v>
      </c>
      <c r="BL83" s="2">
        <v>100.0</v>
      </c>
      <c r="BM83" s="2">
        <v>100.0</v>
      </c>
      <c r="BN83" s="2">
        <v>100.0</v>
      </c>
      <c r="BO83" s="2">
        <v>100.0</v>
      </c>
      <c r="BP83" s="2">
        <v>100.0</v>
      </c>
      <c r="BQ83" s="2">
        <v>100.0</v>
      </c>
      <c r="BS83" s="3" t="str">
        <f>VLOOKUP(B83, Metadata!A:B, 2, FALSE)</f>
        <v>Europe &amp; Central Asia</v>
      </c>
    </row>
    <row r="84" hidden="1">
      <c r="A84" s="2" t="s">
        <v>229</v>
      </c>
      <c r="B84" s="2" t="s">
        <v>230</v>
      </c>
      <c r="C84" s="2" t="s">
        <v>4</v>
      </c>
      <c r="D84" s="2" t="s">
        <v>5</v>
      </c>
      <c r="AS84" s="2">
        <v>46.0</v>
      </c>
      <c r="AT84" s="2">
        <v>48.4</v>
      </c>
      <c r="AU84" s="2">
        <v>50.1</v>
      </c>
      <c r="AV84" s="2">
        <v>51.8</v>
      </c>
      <c r="AW84" s="2">
        <v>53.5</v>
      </c>
      <c r="AX84" s="2">
        <v>55.2</v>
      </c>
      <c r="AY84" s="2">
        <v>57.0</v>
      </c>
      <c r="AZ84" s="2">
        <v>58.7</v>
      </c>
      <c r="BA84" s="2">
        <v>60.5</v>
      </c>
      <c r="BB84" s="2">
        <v>62.2</v>
      </c>
      <c r="BC84" s="2">
        <v>64.5</v>
      </c>
      <c r="BD84" s="2">
        <v>66.3</v>
      </c>
      <c r="BE84" s="2">
        <v>67.8</v>
      </c>
      <c r="BF84" s="2">
        <v>69.4</v>
      </c>
      <c r="BG84" s="2">
        <v>71.2</v>
      </c>
      <c r="BH84" s="2">
        <v>73.0</v>
      </c>
      <c r="BI84" s="2">
        <v>74.8</v>
      </c>
      <c r="BJ84" s="2">
        <v>76.5</v>
      </c>
      <c r="BK84" s="2">
        <v>78.3</v>
      </c>
      <c r="BL84" s="2">
        <v>80.1</v>
      </c>
      <c r="BM84" s="2">
        <v>81.9</v>
      </c>
      <c r="BN84" s="2">
        <v>83.6</v>
      </c>
      <c r="BO84" s="2">
        <v>85.3</v>
      </c>
      <c r="BP84" s="2">
        <v>86.9</v>
      </c>
      <c r="BQ84" s="2">
        <v>88.9</v>
      </c>
      <c r="BS84" s="3" t="str">
        <f>VLOOKUP(B84, Metadata!A:B, 2, FALSE)</f>
        <v>East Asia &amp; Pacific</v>
      </c>
    </row>
    <row r="85">
      <c r="A85" s="2" t="s">
        <v>46</v>
      </c>
      <c r="B85" s="2" t="s">
        <v>47</v>
      </c>
      <c r="C85" s="2" t="s">
        <v>4</v>
      </c>
      <c r="D85" s="2" t="s">
        <v>5</v>
      </c>
      <c r="AS85" s="2">
        <v>73.6</v>
      </c>
      <c r="AT85" s="2">
        <v>77.2</v>
      </c>
      <c r="AU85" s="2">
        <v>77.8</v>
      </c>
      <c r="AV85" s="2">
        <v>78.5</v>
      </c>
      <c r="AW85" s="2">
        <v>79.2</v>
      </c>
      <c r="AX85" s="2">
        <v>81.6</v>
      </c>
      <c r="AY85" s="2">
        <v>80.5</v>
      </c>
      <c r="AZ85" s="2">
        <v>81.3</v>
      </c>
      <c r="BA85" s="2">
        <v>82.0</v>
      </c>
      <c r="BB85" s="2">
        <v>82.7</v>
      </c>
      <c r="BC85" s="2">
        <v>89.3</v>
      </c>
      <c r="BD85" s="2">
        <v>88.7</v>
      </c>
      <c r="BE85" s="2">
        <v>89.3</v>
      </c>
      <c r="BF85" s="2">
        <v>86.4</v>
      </c>
      <c r="BG85" s="2">
        <v>87.1</v>
      </c>
      <c r="BH85" s="2">
        <v>87.3</v>
      </c>
      <c r="BI85" s="2">
        <v>88.1</v>
      </c>
      <c r="BJ85" s="2">
        <v>86.3</v>
      </c>
      <c r="BK85" s="2">
        <v>89.6</v>
      </c>
      <c r="BL85" s="2">
        <v>90.3</v>
      </c>
      <c r="BM85" s="2">
        <v>91.1</v>
      </c>
      <c r="BN85" s="2">
        <v>91.8</v>
      </c>
      <c r="BO85" s="2">
        <v>93.5</v>
      </c>
      <c r="BP85" s="2">
        <v>94.1</v>
      </c>
      <c r="BQ85" s="2">
        <v>95.1</v>
      </c>
      <c r="BS85" s="3" t="str">
        <f>VLOOKUP(B85, Metadata!A:B, 2, FALSE)</f>
        <v>Sub-Saharan Africa</v>
      </c>
      <c r="BT85" s="3">
        <f>VLOOKUP(B81,Population!A:B,2,FALSE)*(1-BP81/100)</f>
        <v>6469.015</v>
      </c>
    </row>
    <row r="86" hidden="1">
      <c r="A86" s="2" t="s">
        <v>250</v>
      </c>
      <c r="B86" s="2" t="s">
        <v>231</v>
      </c>
      <c r="C86" s="2" t="s">
        <v>4</v>
      </c>
      <c r="D86" s="2" t="s">
        <v>5</v>
      </c>
      <c r="AI86" s="2">
        <v>100.0</v>
      </c>
      <c r="AJ86" s="2">
        <v>100.0</v>
      </c>
      <c r="AK86" s="2">
        <v>100.0</v>
      </c>
      <c r="AL86" s="2">
        <v>100.0</v>
      </c>
      <c r="AM86" s="2">
        <v>100.0</v>
      </c>
      <c r="AN86" s="2">
        <v>100.0</v>
      </c>
      <c r="AO86" s="2">
        <v>100.0</v>
      </c>
      <c r="AP86" s="2">
        <v>100.0</v>
      </c>
      <c r="AQ86" s="2">
        <v>100.0</v>
      </c>
      <c r="AR86" s="2">
        <v>100.0</v>
      </c>
      <c r="AS86" s="2">
        <v>100.0</v>
      </c>
      <c r="AT86" s="2">
        <v>100.0</v>
      </c>
      <c r="AU86" s="2">
        <v>100.0</v>
      </c>
      <c r="AV86" s="2">
        <v>100.0</v>
      </c>
      <c r="AW86" s="2">
        <v>100.0</v>
      </c>
      <c r="AX86" s="2">
        <v>100.0</v>
      </c>
      <c r="AY86" s="2">
        <v>100.0</v>
      </c>
      <c r="AZ86" s="2">
        <v>100.0</v>
      </c>
      <c r="BA86" s="2">
        <v>100.0</v>
      </c>
      <c r="BB86" s="2">
        <v>100.0</v>
      </c>
      <c r="BC86" s="2">
        <v>100.0</v>
      </c>
      <c r="BD86" s="2">
        <v>100.0</v>
      </c>
      <c r="BE86" s="2">
        <v>100.0</v>
      </c>
      <c r="BF86" s="2">
        <v>100.0</v>
      </c>
      <c r="BG86" s="2">
        <v>100.0</v>
      </c>
      <c r="BH86" s="2">
        <v>100.0</v>
      </c>
      <c r="BI86" s="2">
        <v>100.0</v>
      </c>
      <c r="BJ86" s="2">
        <v>100.0</v>
      </c>
      <c r="BK86" s="2">
        <v>100.0</v>
      </c>
      <c r="BL86" s="2">
        <v>100.0</v>
      </c>
      <c r="BM86" s="2">
        <v>100.0</v>
      </c>
      <c r="BN86" s="2">
        <v>100.0</v>
      </c>
      <c r="BO86" s="2">
        <v>100.0</v>
      </c>
      <c r="BP86" s="2">
        <v>100.0</v>
      </c>
      <c r="BQ86" s="2">
        <v>100.0</v>
      </c>
      <c r="BS86" s="3" t="str">
        <f>VLOOKUP(B86, Metadata!A:B, 2, FALSE)</f>
        <v>Europe &amp; Central Asia</v>
      </c>
    </row>
    <row r="87" hidden="1">
      <c r="A87" s="2" t="s">
        <v>265</v>
      </c>
      <c r="B87" s="2" t="s">
        <v>232</v>
      </c>
      <c r="C87" s="2" t="s">
        <v>4</v>
      </c>
      <c r="D87" s="2" t="s">
        <v>5</v>
      </c>
      <c r="AS87" s="2">
        <v>99.8</v>
      </c>
      <c r="AT87" s="2">
        <v>99.8</v>
      </c>
      <c r="AU87" s="2">
        <v>99.9</v>
      </c>
      <c r="AV87" s="2">
        <v>100.0</v>
      </c>
      <c r="AW87" s="2">
        <v>99.9</v>
      </c>
      <c r="AX87" s="2">
        <v>97.9</v>
      </c>
      <c r="AY87" s="2">
        <v>100.0</v>
      </c>
      <c r="AZ87" s="2">
        <v>100.0</v>
      </c>
      <c r="BA87" s="2">
        <v>100.0</v>
      </c>
      <c r="BB87" s="2">
        <v>100.0</v>
      </c>
      <c r="BC87" s="2">
        <v>100.0</v>
      </c>
      <c r="BD87" s="2">
        <v>100.0</v>
      </c>
      <c r="BE87" s="2">
        <v>100.0</v>
      </c>
      <c r="BF87" s="2">
        <v>100.0</v>
      </c>
      <c r="BG87" s="2">
        <v>100.0</v>
      </c>
      <c r="BH87" s="2">
        <v>100.0</v>
      </c>
      <c r="BI87" s="2">
        <v>100.0</v>
      </c>
      <c r="BJ87" s="2">
        <v>100.0</v>
      </c>
      <c r="BK87" s="2">
        <v>99.9</v>
      </c>
      <c r="BL87" s="2">
        <v>100.0</v>
      </c>
      <c r="BM87" s="2">
        <v>100.0</v>
      </c>
      <c r="BN87" s="2">
        <v>100.0</v>
      </c>
      <c r="BO87" s="2">
        <v>100.0</v>
      </c>
      <c r="BP87" s="2">
        <v>100.0</v>
      </c>
      <c r="BQ87" s="2">
        <v>100.0</v>
      </c>
      <c r="BS87" s="3" t="str">
        <f>VLOOKUP(B87, Metadata!A:B, 2, FALSE)</f>
        <v>Europe &amp; Central Asia</v>
      </c>
    </row>
    <row r="88">
      <c r="A88" s="2" t="s">
        <v>136</v>
      </c>
      <c r="B88" s="2" t="s">
        <v>137</v>
      </c>
      <c r="C88" s="2" t="s">
        <v>4</v>
      </c>
      <c r="D88" s="2" t="s">
        <v>5</v>
      </c>
      <c r="AL88" s="2">
        <v>30.6</v>
      </c>
      <c r="AM88" s="2">
        <v>30.36940574646</v>
      </c>
      <c r="AN88" s="2">
        <v>32.4504508972168</v>
      </c>
      <c r="AO88" s="2">
        <v>34.5287704467773</v>
      </c>
      <c r="AP88" s="2">
        <v>36.6036949157715</v>
      </c>
      <c r="AQ88" s="2">
        <v>42.6</v>
      </c>
      <c r="AR88" s="2">
        <v>40.7405395507813</v>
      </c>
      <c r="AS88" s="2">
        <v>43.7</v>
      </c>
      <c r="AT88" s="2">
        <v>44.8</v>
      </c>
      <c r="AU88" s="2">
        <v>46.8</v>
      </c>
      <c r="AV88" s="2">
        <v>48.3</v>
      </c>
      <c r="AW88" s="2">
        <v>50.8</v>
      </c>
      <c r="AX88" s="2">
        <v>41.2</v>
      </c>
      <c r="AY88" s="2">
        <v>55.1</v>
      </c>
      <c r="AZ88" s="2">
        <v>56.9</v>
      </c>
      <c r="BA88" s="2">
        <v>60.5</v>
      </c>
      <c r="BB88" s="2">
        <v>61.1</v>
      </c>
      <c r="BC88" s="2">
        <v>64.2</v>
      </c>
      <c r="BD88" s="2">
        <v>64.1</v>
      </c>
      <c r="BE88" s="2">
        <v>56.5</v>
      </c>
      <c r="BF88" s="2">
        <v>70.7</v>
      </c>
      <c r="BG88" s="2">
        <v>78.3</v>
      </c>
      <c r="BH88" s="2">
        <v>74.0</v>
      </c>
      <c r="BI88" s="2">
        <v>79.3</v>
      </c>
      <c r="BJ88" s="2">
        <v>79.0</v>
      </c>
      <c r="BK88" s="2">
        <v>80.4</v>
      </c>
      <c r="BL88" s="2">
        <v>83.5</v>
      </c>
      <c r="BM88" s="2">
        <v>85.4</v>
      </c>
      <c r="BN88" s="2">
        <v>86.3</v>
      </c>
      <c r="BO88" s="2">
        <v>85.1</v>
      </c>
      <c r="BP88" s="2">
        <v>89.5</v>
      </c>
      <c r="BQ88" s="2">
        <v>91.9</v>
      </c>
      <c r="BS88" s="3" t="str">
        <f>VLOOKUP(B88, Metadata!A:B, 2, FALSE)</f>
        <v>Sub-Saharan Africa</v>
      </c>
      <c r="BT88" s="3">
        <f>VLOOKUP(B84,Population!A:B,2,FALSE)*(1-BP84/100)</f>
        <v>14754.53</v>
      </c>
    </row>
    <row r="89" hidden="1">
      <c r="A89" s="2" t="s">
        <v>295</v>
      </c>
      <c r="B89" s="2" t="s">
        <v>233</v>
      </c>
      <c r="C89" s="2" t="s">
        <v>4</v>
      </c>
      <c r="D89" s="2" t="s">
        <v>5</v>
      </c>
      <c r="AI89" s="2">
        <v>100.0</v>
      </c>
      <c r="AJ89" s="2">
        <v>100.0</v>
      </c>
      <c r="AK89" s="2">
        <v>100.0</v>
      </c>
      <c r="AL89" s="2">
        <v>100.0</v>
      </c>
      <c r="AM89" s="2">
        <v>100.0</v>
      </c>
      <c r="AN89" s="2">
        <v>100.0</v>
      </c>
      <c r="AO89" s="2">
        <v>100.0</v>
      </c>
      <c r="AP89" s="2">
        <v>100.0</v>
      </c>
      <c r="AQ89" s="2">
        <v>100.0</v>
      </c>
      <c r="AR89" s="2">
        <v>100.0</v>
      </c>
      <c r="AS89" s="2">
        <v>99.9</v>
      </c>
      <c r="AT89" s="2">
        <v>99.9</v>
      </c>
      <c r="AU89" s="2">
        <v>99.8</v>
      </c>
      <c r="AV89" s="2">
        <v>99.8</v>
      </c>
      <c r="AW89" s="2">
        <v>99.7</v>
      </c>
      <c r="AX89" s="2">
        <v>99.7</v>
      </c>
      <c r="AY89" s="2">
        <v>99.7</v>
      </c>
      <c r="AZ89" s="2">
        <v>99.7</v>
      </c>
      <c r="BA89" s="2">
        <v>99.7</v>
      </c>
      <c r="BB89" s="2">
        <v>100.0</v>
      </c>
      <c r="BC89" s="2">
        <v>100.0</v>
      </c>
      <c r="BD89" s="2">
        <v>99.8</v>
      </c>
      <c r="BE89" s="2">
        <v>99.9</v>
      </c>
      <c r="BF89" s="2">
        <v>99.9</v>
      </c>
      <c r="BG89" s="2">
        <v>99.9</v>
      </c>
      <c r="BH89" s="2">
        <v>100.0</v>
      </c>
      <c r="BI89" s="2">
        <v>100.0</v>
      </c>
      <c r="BJ89" s="2">
        <v>100.0</v>
      </c>
      <c r="BK89" s="2">
        <v>100.0</v>
      </c>
      <c r="BL89" s="2">
        <v>100.0</v>
      </c>
      <c r="BM89" s="2">
        <v>100.0</v>
      </c>
      <c r="BN89" s="2">
        <v>100.0</v>
      </c>
      <c r="BO89" s="2">
        <v>100.0</v>
      </c>
      <c r="BP89" s="2">
        <v>100.0</v>
      </c>
      <c r="BQ89" s="2">
        <v>100.0</v>
      </c>
      <c r="BS89" s="3" t="str">
        <f>VLOOKUP(B89, Metadata!A:B, 2, FALSE)</f>
        <v>Europe &amp; Central Asia</v>
      </c>
    </row>
    <row r="90">
      <c r="A90" s="2" t="s">
        <v>124</v>
      </c>
      <c r="B90" s="2" t="s">
        <v>125</v>
      </c>
      <c r="C90" s="2" t="s">
        <v>4</v>
      </c>
      <c r="D90" s="2" t="s">
        <v>5</v>
      </c>
      <c r="AR90" s="2">
        <v>16.4</v>
      </c>
      <c r="AS90" s="2">
        <v>15.2</v>
      </c>
      <c r="AT90" s="2">
        <v>16.4</v>
      </c>
      <c r="AU90" s="2">
        <v>17.7</v>
      </c>
      <c r="AV90" s="2">
        <v>18.9</v>
      </c>
      <c r="AW90" s="2">
        <v>20.2</v>
      </c>
      <c r="AX90" s="2">
        <v>20.2</v>
      </c>
      <c r="AY90" s="2">
        <v>22.8</v>
      </c>
      <c r="AZ90" s="2">
        <v>24.1</v>
      </c>
      <c r="BA90" s="2">
        <v>25.4</v>
      </c>
      <c r="BB90" s="2">
        <v>26.7</v>
      </c>
      <c r="BC90" s="2">
        <v>28.1</v>
      </c>
      <c r="BD90" s="2">
        <v>29.5</v>
      </c>
      <c r="BE90" s="2">
        <v>26.2</v>
      </c>
      <c r="BF90" s="2">
        <v>32.2</v>
      </c>
      <c r="BG90" s="2">
        <v>33.5</v>
      </c>
      <c r="BH90" s="2">
        <v>34.9</v>
      </c>
      <c r="BI90" s="2">
        <v>33.5</v>
      </c>
      <c r="BJ90" s="2">
        <v>35.4</v>
      </c>
      <c r="BK90" s="2">
        <v>45.0</v>
      </c>
      <c r="BL90" s="2">
        <v>42.2</v>
      </c>
      <c r="BM90" s="2">
        <v>44.7</v>
      </c>
      <c r="BN90" s="2">
        <v>46.8</v>
      </c>
      <c r="BO90" s="2">
        <v>47.7</v>
      </c>
      <c r="BP90" s="2">
        <v>51.1</v>
      </c>
      <c r="BQ90" s="2">
        <v>53.8</v>
      </c>
      <c r="BS90" s="3" t="str">
        <f>VLOOKUP(B90, Metadata!A:B, 2, FALSE)</f>
        <v>Sub-Saharan Africa</v>
      </c>
      <c r="BT90" s="3">
        <f>VLOOKUP(B86,Population!A:B,2,FALSE)*(1-BP86/100)</f>
        <v>0</v>
      </c>
    </row>
    <row r="91">
      <c r="A91" s="2" t="s">
        <v>116</v>
      </c>
      <c r="B91" s="2" t="s">
        <v>117</v>
      </c>
      <c r="C91" s="2" t="s">
        <v>4</v>
      </c>
      <c r="D91" s="2" t="s">
        <v>5</v>
      </c>
      <c r="AL91" s="2">
        <v>17.7</v>
      </c>
      <c r="AM91" s="2">
        <v>18.2500495910645</v>
      </c>
      <c r="AN91" s="2">
        <v>19.921443939209</v>
      </c>
      <c r="AO91" s="2">
        <v>21.5901184082031</v>
      </c>
      <c r="AP91" s="2">
        <v>23.255392074585</v>
      </c>
      <c r="AQ91" s="2">
        <v>24.9165878295898</v>
      </c>
      <c r="AR91" s="2">
        <v>26.572940826416</v>
      </c>
      <c r="AS91" s="2">
        <v>34.3</v>
      </c>
      <c r="AT91" s="2">
        <v>29.9</v>
      </c>
      <c r="AU91" s="2">
        <v>31.5</v>
      </c>
      <c r="AV91" s="2">
        <v>27.8</v>
      </c>
      <c r="AW91" s="2">
        <v>34.8</v>
      </c>
      <c r="AX91" s="2">
        <v>30.5</v>
      </c>
      <c r="AY91" s="2">
        <v>38.1</v>
      </c>
      <c r="AZ91" s="2">
        <v>39.8</v>
      </c>
      <c r="BA91" s="2">
        <v>41.5</v>
      </c>
      <c r="BB91" s="2">
        <v>43.2</v>
      </c>
      <c r="BC91" s="2">
        <v>46.8</v>
      </c>
      <c r="BD91" s="2">
        <v>48.3</v>
      </c>
      <c r="BE91" s="2">
        <v>49.9</v>
      </c>
      <c r="BF91" s="2">
        <v>51.5</v>
      </c>
      <c r="BG91" s="2">
        <v>53.0</v>
      </c>
      <c r="BH91" s="2">
        <v>54.7</v>
      </c>
      <c r="BI91" s="2">
        <v>56.4</v>
      </c>
      <c r="BJ91" s="2">
        <v>56.2</v>
      </c>
      <c r="BK91" s="2">
        <v>60.3</v>
      </c>
      <c r="BL91" s="2">
        <v>62.1</v>
      </c>
      <c r="BM91" s="2">
        <v>62.2</v>
      </c>
      <c r="BN91" s="2">
        <v>63.7</v>
      </c>
      <c r="BO91" s="2">
        <v>65.4</v>
      </c>
      <c r="BP91" s="2">
        <v>66.9</v>
      </c>
      <c r="BQ91" s="2">
        <v>69.0</v>
      </c>
      <c r="BS91" s="3" t="str">
        <f>VLOOKUP(B91, Metadata!A:B, 2, FALSE)</f>
        <v>Sub-Saharan Africa</v>
      </c>
      <c r="BT91" s="3">
        <f>VLOOKUP(B87,Population!A:B,2,FALSE)*(1-BP87/100)</f>
        <v>0</v>
      </c>
    </row>
    <row r="92">
      <c r="A92" s="2" t="s">
        <v>144</v>
      </c>
      <c r="B92" s="2" t="s">
        <v>145</v>
      </c>
      <c r="C92" s="2" t="s">
        <v>4</v>
      </c>
      <c r="D92" s="2" t="s">
        <v>5</v>
      </c>
      <c r="AU92" s="2">
        <v>1.3</v>
      </c>
      <c r="AV92" s="2">
        <v>2.6</v>
      </c>
      <c r="AW92" s="2">
        <v>3.9</v>
      </c>
      <c r="AX92" s="2">
        <v>5.2</v>
      </c>
      <c r="AY92" s="2">
        <v>14.5</v>
      </c>
      <c r="AZ92" s="2">
        <v>7.9</v>
      </c>
      <c r="BA92" s="2">
        <v>9.3</v>
      </c>
      <c r="BB92" s="2">
        <v>4.7</v>
      </c>
      <c r="BC92" s="2">
        <v>6.0</v>
      </c>
      <c r="BD92" s="2">
        <v>13.5</v>
      </c>
      <c r="BE92" s="2">
        <v>14.9</v>
      </c>
      <c r="BF92" s="2">
        <v>16.3</v>
      </c>
      <c r="BG92" s="2">
        <v>17.2</v>
      </c>
      <c r="BH92" s="2">
        <v>20.1</v>
      </c>
      <c r="BI92" s="2">
        <v>22.9</v>
      </c>
      <c r="BJ92" s="2">
        <v>26.0</v>
      </c>
      <c r="BK92" s="2">
        <v>28.4</v>
      </c>
      <c r="BL92" s="2">
        <v>30.9</v>
      </c>
      <c r="BM92" s="2">
        <v>33.4</v>
      </c>
      <c r="BN92" s="2">
        <v>35.8</v>
      </c>
      <c r="BO92" s="2">
        <v>37.4</v>
      </c>
      <c r="BP92" s="2">
        <v>40.5</v>
      </c>
      <c r="BQ92" s="2">
        <v>43.7</v>
      </c>
      <c r="BS92" s="3" t="str">
        <f>VLOOKUP(B92, Metadata!A:B, 2, FALSE)</f>
        <v>Sub-Saharan Africa</v>
      </c>
      <c r="BT92" s="3">
        <f>VLOOKUP(B88,Population!A:B,2,FALSE)*(1-BP88/100)</f>
        <v>3547730.97</v>
      </c>
    </row>
    <row r="93">
      <c r="A93" s="2" t="s">
        <v>112</v>
      </c>
      <c r="B93" s="2" t="s">
        <v>113</v>
      </c>
      <c r="C93" s="2" t="s">
        <v>4</v>
      </c>
      <c r="D93" s="2" t="s">
        <v>5</v>
      </c>
      <c r="AS93" s="2">
        <v>64.8</v>
      </c>
      <c r="AT93" s="2">
        <v>64.9</v>
      </c>
      <c r="AU93" s="2">
        <v>64.9</v>
      </c>
      <c r="AV93" s="2">
        <v>64.9</v>
      </c>
      <c r="AW93" s="2">
        <v>64.9</v>
      </c>
      <c r="AX93" s="2">
        <v>65.0</v>
      </c>
      <c r="AY93" s="2">
        <v>65.1</v>
      </c>
      <c r="AZ93" s="2">
        <v>65.1</v>
      </c>
      <c r="BA93" s="2">
        <v>65.2</v>
      </c>
      <c r="BB93" s="2">
        <v>65.4</v>
      </c>
      <c r="BC93" s="2">
        <v>66.1</v>
      </c>
      <c r="BD93" s="2">
        <v>66.1</v>
      </c>
      <c r="BE93" s="2">
        <v>65.7</v>
      </c>
      <c r="BF93" s="2">
        <v>65.9</v>
      </c>
      <c r="BG93" s="2">
        <v>66.0</v>
      </c>
      <c r="BH93" s="2">
        <v>66.1</v>
      </c>
      <c r="BI93" s="2">
        <v>66.2</v>
      </c>
      <c r="BJ93" s="2">
        <v>66.4</v>
      </c>
      <c r="BK93" s="2">
        <v>66.5</v>
      </c>
      <c r="BL93" s="2">
        <v>66.6</v>
      </c>
      <c r="BM93" s="2">
        <v>66.7</v>
      </c>
      <c r="BN93" s="2">
        <v>66.8</v>
      </c>
      <c r="BO93" s="2">
        <v>67.0</v>
      </c>
      <c r="BP93" s="2">
        <v>66.9</v>
      </c>
      <c r="BQ93" s="2">
        <v>65.1</v>
      </c>
      <c r="BS93" s="3" t="str">
        <f>VLOOKUP(B93, Metadata!A:B, 2, FALSE)</f>
        <v>Sub-Saharan Africa</v>
      </c>
      <c r="BT93" s="3">
        <f>VLOOKUP(B89,Population!A:B,2,FALSE)*(1-BP89/100)</f>
        <v>0</v>
      </c>
    </row>
    <row r="94" hidden="1">
      <c r="A94" s="2" t="s">
        <v>371</v>
      </c>
      <c r="B94" s="2" t="s">
        <v>234</v>
      </c>
      <c r="C94" s="2" t="s">
        <v>4</v>
      </c>
      <c r="D94" s="2" t="s">
        <v>5</v>
      </c>
      <c r="AI94" s="2">
        <v>100.0</v>
      </c>
      <c r="AJ94" s="2">
        <v>100.0</v>
      </c>
      <c r="AK94" s="2">
        <v>100.0</v>
      </c>
      <c r="AL94" s="2">
        <v>100.0</v>
      </c>
      <c r="AM94" s="2">
        <v>100.0</v>
      </c>
      <c r="AN94" s="2">
        <v>100.0</v>
      </c>
      <c r="AO94" s="2">
        <v>100.0</v>
      </c>
      <c r="AP94" s="2">
        <v>100.0</v>
      </c>
      <c r="AQ94" s="2">
        <v>100.0</v>
      </c>
      <c r="AR94" s="2">
        <v>100.0</v>
      </c>
      <c r="AS94" s="2">
        <v>100.0</v>
      </c>
      <c r="AT94" s="2">
        <v>100.0</v>
      </c>
      <c r="AU94" s="2">
        <v>100.0</v>
      </c>
      <c r="AV94" s="2">
        <v>100.0</v>
      </c>
      <c r="AW94" s="2">
        <v>100.0</v>
      </c>
      <c r="AX94" s="2">
        <v>100.0</v>
      </c>
      <c r="AY94" s="2">
        <v>100.0</v>
      </c>
      <c r="AZ94" s="2">
        <v>100.0</v>
      </c>
      <c r="BA94" s="2">
        <v>100.0</v>
      </c>
      <c r="BB94" s="2">
        <v>100.0</v>
      </c>
      <c r="BC94" s="2">
        <v>100.0</v>
      </c>
      <c r="BD94" s="2">
        <v>100.0</v>
      </c>
      <c r="BE94" s="2">
        <v>100.0</v>
      </c>
      <c r="BF94" s="2">
        <v>100.0</v>
      </c>
      <c r="BG94" s="2">
        <v>100.0</v>
      </c>
      <c r="BH94" s="2">
        <v>100.0</v>
      </c>
      <c r="BI94" s="2">
        <v>100.0</v>
      </c>
      <c r="BJ94" s="2">
        <v>100.0</v>
      </c>
      <c r="BK94" s="2">
        <v>100.0</v>
      </c>
      <c r="BL94" s="2">
        <v>100.0</v>
      </c>
      <c r="BM94" s="2">
        <v>100.0</v>
      </c>
      <c r="BN94" s="2">
        <v>100.0</v>
      </c>
      <c r="BO94" s="2">
        <v>100.0</v>
      </c>
      <c r="BP94" s="2">
        <v>100.0</v>
      </c>
      <c r="BQ94" s="2">
        <v>100.0</v>
      </c>
      <c r="BS94" s="3" t="str">
        <f>VLOOKUP(B94, Metadata!A:B, 2, FALSE)</f>
        <v>Europe &amp; Central Asia</v>
      </c>
    </row>
    <row r="95" hidden="1">
      <c r="A95" s="2" t="s">
        <v>385</v>
      </c>
      <c r="B95" s="2" t="s">
        <v>235</v>
      </c>
      <c r="C95" s="2" t="s">
        <v>4</v>
      </c>
      <c r="D95" s="2" t="s">
        <v>5</v>
      </c>
      <c r="AQ95" s="2">
        <v>85.04</v>
      </c>
      <c r="AR95" s="2">
        <v>85.5294647216797</v>
      </c>
      <c r="AS95" s="2">
        <v>86.0</v>
      </c>
      <c r="AT95" s="2">
        <v>86.3</v>
      </c>
      <c r="AU95" s="2">
        <v>86.6</v>
      </c>
      <c r="AV95" s="2">
        <v>86.9</v>
      </c>
      <c r="AW95" s="2">
        <v>87.2</v>
      </c>
      <c r="AX95" s="2">
        <v>87.5</v>
      </c>
      <c r="AY95" s="2">
        <v>87.9</v>
      </c>
      <c r="AZ95" s="2">
        <v>88.2</v>
      </c>
      <c r="BA95" s="2">
        <v>90.0</v>
      </c>
      <c r="BB95" s="2">
        <v>89.0</v>
      </c>
      <c r="BC95" s="2">
        <v>89.4</v>
      </c>
      <c r="BD95" s="2">
        <v>88.8</v>
      </c>
      <c r="BE95" s="2">
        <v>90.2</v>
      </c>
      <c r="BF95" s="2">
        <v>90.6</v>
      </c>
      <c r="BG95" s="2">
        <v>91.0</v>
      </c>
      <c r="BH95" s="2">
        <v>91.4</v>
      </c>
      <c r="BI95" s="2">
        <v>91.8</v>
      </c>
      <c r="BJ95" s="2">
        <v>92.2</v>
      </c>
      <c r="BK95" s="2">
        <v>92.3</v>
      </c>
      <c r="BL95" s="2">
        <v>93.0</v>
      </c>
      <c r="BM95" s="2">
        <v>93.4</v>
      </c>
      <c r="BN95" s="2">
        <v>93.7</v>
      </c>
      <c r="BO95" s="2">
        <v>94.2</v>
      </c>
      <c r="BP95" s="2">
        <v>94.4</v>
      </c>
      <c r="BQ95" s="2">
        <v>95.6</v>
      </c>
      <c r="BS95" s="3" t="str">
        <f>VLOOKUP(B95, Metadata!A:B, 2, FALSE)</f>
        <v>Latin America &amp; Caribbean</v>
      </c>
    </row>
    <row r="96" hidden="1">
      <c r="A96" s="2" t="s">
        <v>392</v>
      </c>
      <c r="B96" s="2" t="s">
        <v>236</v>
      </c>
      <c r="C96" s="2" t="s">
        <v>4</v>
      </c>
      <c r="D96" s="2" t="s">
        <v>5</v>
      </c>
      <c r="AI96" s="2">
        <v>100.0</v>
      </c>
      <c r="AJ96" s="2">
        <v>100.0</v>
      </c>
      <c r="AK96" s="2">
        <v>100.0</v>
      </c>
      <c r="AL96" s="2">
        <v>100.0</v>
      </c>
      <c r="AM96" s="2">
        <v>100.0</v>
      </c>
      <c r="AN96" s="2">
        <v>100.0</v>
      </c>
      <c r="AO96" s="2">
        <v>100.0</v>
      </c>
      <c r="AP96" s="2">
        <v>100.0</v>
      </c>
      <c r="AQ96" s="2">
        <v>100.0</v>
      </c>
      <c r="AR96" s="2">
        <v>100.0</v>
      </c>
      <c r="AS96" s="2">
        <v>100.0</v>
      </c>
      <c r="AT96" s="2">
        <v>100.0</v>
      </c>
      <c r="AU96" s="2">
        <v>100.0</v>
      </c>
      <c r="AV96" s="2">
        <v>100.0</v>
      </c>
      <c r="AW96" s="2">
        <v>100.0</v>
      </c>
      <c r="AX96" s="2">
        <v>100.0</v>
      </c>
      <c r="AY96" s="2">
        <v>100.0</v>
      </c>
      <c r="AZ96" s="2">
        <v>100.0</v>
      </c>
      <c r="BA96" s="2">
        <v>100.0</v>
      </c>
      <c r="BB96" s="2">
        <v>100.0</v>
      </c>
      <c r="BC96" s="2">
        <v>100.0</v>
      </c>
      <c r="BD96" s="2">
        <v>100.0</v>
      </c>
      <c r="BE96" s="2">
        <v>100.0</v>
      </c>
      <c r="BF96" s="2">
        <v>100.0</v>
      </c>
      <c r="BG96" s="2">
        <v>100.0</v>
      </c>
      <c r="BH96" s="2">
        <v>100.0</v>
      </c>
      <c r="BI96" s="2">
        <v>100.0</v>
      </c>
      <c r="BJ96" s="2">
        <v>100.0</v>
      </c>
      <c r="BK96" s="2">
        <v>100.0</v>
      </c>
      <c r="BL96" s="2">
        <v>100.0</v>
      </c>
      <c r="BM96" s="2">
        <v>100.0</v>
      </c>
      <c r="BN96" s="2">
        <v>100.0</v>
      </c>
      <c r="BO96" s="2">
        <v>100.0</v>
      </c>
      <c r="BP96" s="2">
        <v>100.0</v>
      </c>
      <c r="BQ96" s="2">
        <v>100.0</v>
      </c>
      <c r="BS96" s="3" t="str">
        <f>VLOOKUP(B96, Metadata!A:B, 2, FALSE)</f>
        <v>Europe &amp; Central Asia</v>
      </c>
    </row>
    <row r="97" hidden="1">
      <c r="A97" s="2" t="s">
        <v>393</v>
      </c>
      <c r="B97" s="2" t="s">
        <v>237</v>
      </c>
      <c r="C97" s="2" t="s">
        <v>4</v>
      </c>
      <c r="D97" s="2" t="s">
        <v>5</v>
      </c>
      <c r="AN97" s="2">
        <v>60.8</v>
      </c>
      <c r="AO97" s="2">
        <v>67.6799392700195</v>
      </c>
      <c r="AP97" s="2">
        <v>68.9040756225586</v>
      </c>
      <c r="AQ97" s="2">
        <v>70.1241302490234</v>
      </c>
      <c r="AR97" s="2">
        <v>70.9</v>
      </c>
      <c r="AS97" s="2">
        <v>73.3</v>
      </c>
      <c r="AT97" s="2">
        <v>73.7</v>
      </c>
      <c r="AU97" s="2">
        <v>78.7</v>
      </c>
      <c r="AV97" s="2">
        <v>78.5</v>
      </c>
      <c r="AW97" s="2">
        <v>77.2</v>
      </c>
      <c r="AX97" s="2">
        <v>78.3</v>
      </c>
      <c r="AY97" s="2">
        <v>83.7</v>
      </c>
      <c r="AZ97" s="2">
        <v>80.7</v>
      </c>
      <c r="BA97" s="2">
        <v>81.9</v>
      </c>
      <c r="BB97" s="2">
        <v>83.1</v>
      </c>
      <c r="BC97" s="2">
        <v>84.3</v>
      </c>
      <c r="BD97" s="2">
        <v>84.0</v>
      </c>
      <c r="BE97" s="2">
        <v>86.8</v>
      </c>
      <c r="BF97" s="2">
        <v>88.1</v>
      </c>
      <c r="BG97" s="2">
        <v>85.5</v>
      </c>
      <c r="BH97" s="2">
        <v>90.5</v>
      </c>
      <c r="BI97" s="2">
        <v>91.8</v>
      </c>
      <c r="BJ97" s="2">
        <v>93.3</v>
      </c>
      <c r="BK97" s="2">
        <v>94.2</v>
      </c>
      <c r="BL97" s="2">
        <v>95.4</v>
      </c>
      <c r="BM97" s="2">
        <v>96.6</v>
      </c>
      <c r="BN97" s="2">
        <v>97.9</v>
      </c>
      <c r="BO97" s="2">
        <v>99.1</v>
      </c>
      <c r="BP97" s="2">
        <v>100.0</v>
      </c>
      <c r="BQ97" s="2">
        <v>90.9</v>
      </c>
      <c r="BS97" s="3" t="str">
        <f>VLOOKUP(B97, Metadata!A:B, 2, FALSE)</f>
        <v>Latin America &amp; Caribbean</v>
      </c>
    </row>
    <row r="98" hidden="1">
      <c r="A98" s="2" t="s">
        <v>394</v>
      </c>
      <c r="B98" s="2" t="s">
        <v>238</v>
      </c>
      <c r="C98" s="2" t="s">
        <v>4</v>
      </c>
      <c r="D98" s="2" t="s">
        <v>5</v>
      </c>
      <c r="AI98" s="2">
        <v>99.8443069458008</v>
      </c>
      <c r="AJ98" s="2">
        <v>99.8758163452148</v>
      </c>
      <c r="AK98" s="2">
        <v>99.906867980957</v>
      </c>
      <c r="AL98" s="2">
        <v>99.937255859375</v>
      </c>
      <c r="AM98" s="2">
        <v>99.9650802612305</v>
      </c>
      <c r="AN98" s="2">
        <v>100.0</v>
      </c>
      <c r="AO98" s="2">
        <v>100.0</v>
      </c>
      <c r="AP98" s="2">
        <v>100.0</v>
      </c>
      <c r="AQ98" s="2">
        <v>100.0</v>
      </c>
      <c r="AR98" s="2">
        <v>100.0</v>
      </c>
      <c r="AS98" s="2">
        <v>100.0</v>
      </c>
      <c r="AT98" s="2">
        <v>100.0</v>
      </c>
      <c r="AU98" s="2">
        <v>100.0</v>
      </c>
      <c r="AV98" s="2">
        <v>100.0</v>
      </c>
      <c r="AW98" s="2">
        <v>100.0</v>
      </c>
      <c r="AX98" s="2">
        <v>100.0</v>
      </c>
      <c r="AY98" s="2">
        <v>100.0</v>
      </c>
      <c r="AZ98" s="2">
        <v>100.0</v>
      </c>
      <c r="BA98" s="2">
        <v>100.0</v>
      </c>
      <c r="BB98" s="2">
        <v>100.0</v>
      </c>
      <c r="BC98" s="2">
        <v>100.0</v>
      </c>
      <c r="BD98" s="2">
        <v>100.0</v>
      </c>
      <c r="BE98" s="2">
        <v>100.0</v>
      </c>
      <c r="BF98" s="2">
        <v>100.0</v>
      </c>
      <c r="BG98" s="2">
        <v>100.0</v>
      </c>
      <c r="BH98" s="2">
        <v>100.0</v>
      </c>
      <c r="BI98" s="2">
        <v>100.0</v>
      </c>
      <c r="BJ98" s="2">
        <v>100.0</v>
      </c>
      <c r="BK98" s="2">
        <v>100.0</v>
      </c>
      <c r="BL98" s="2">
        <v>100.0</v>
      </c>
      <c r="BM98" s="2">
        <v>100.0</v>
      </c>
      <c r="BN98" s="2">
        <v>100.0</v>
      </c>
      <c r="BO98" s="2">
        <v>100.0</v>
      </c>
      <c r="BP98" s="2">
        <v>100.0</v>
      </c>
      <c r="BQ98" s="2">
        <v>100.0</v>
      </c>
      <c r="BS98" s="3" t="str">
        <f>VLOOKUP(B98, Metadata!A:B, 2, FALSE)</f>
        <v>East Asia &amp; Pacific</v>
      </c>
    </row>
    <row r="99" hidden="1">
      <c r="A99" s="2" t="s">
        <v>395</v>
      </c>
      <c r="B99" s="2" t="s">
        <v>239</v>
      </c>
      <c r="C99" s="2" t="s">
        <v>4</v>
      </c>
      <c r="D99" s="2" t="s">
        <v>5</v>
      </c>
      <c r="AL99" s="2">
        <v>72.376631</v>
      </c>
      <c r="AM99" s="2">
        <v>70.713981628418</v>
      </c>
      <c r="AN99" s="2">
        <v>71.3519821166992</v>
      </c>
      <c r="AO99" s="2">
        <v>71.9872665405273</v>
      </c>
      <c r="AP99" s="2">
        <v>72.6191558837891</v>
      </c>
      <c r="AQ99" s="2">
        <v>73.246955871582</v>
      </c>
      <c r="AR99" s="2">
        <v>73.8699188232422</v>
      </c>
      <c r="AS99" s="2">
        <v>74.6</v>
      </c>
      <c r="AT99" s="2">
        <v>75.1</v>
      </c>
      <c r="AU99" s="2">
        <v>75.7</v>
      </c>
      <c r="AV99" s="2">
        <v>76.2</v>
      </c>
      <c r="AW99" s="2">
        <v>76.8</v>
      </c>
      <c r="AX99" s="2">
        <v>77.5</v>
      </c>
      <c r="AY99" s="2">
        <v>73.4</v>
      </c>
      <c r="AZ99" s="2">
        <v>78.5</v>
      </c>
      <c r="BA99" s="2">
        <v>79.1</v>
      </c>
      <c r="BB99" s="2">
        <v>77.6</v>
      </c>
      <c r="BC99" s="2">
        <v>83.3</v>
      </c>
      <c r="BD99" s="2">
        <v>84.2</v>
      </c>
      <c r="BE99" s="2">
        <v>85.1</v>
      </c>
      <c r="BF99" s="2">
        <v>86.0</v>
      </c>
      <c r="BG99" s="2">
        <v>86.9</v>
      </c>
      <c r="BH99" s="2">
        <v>88.0</v>
      </c>
      <c r="BI99" s="2">
        <v>89.0</v>
      </c>
      <c r="BJ99" s="2">
        <v>90.0</v>
      </c>
      <c r="BK99" s="2">
        <v>90.9</v>
      </c>
      <c r="BL99" s="2">
        <v>91.6</v>
      </c>
      <c r="BM99" s="2">
        <v>92.3</v>
      </c>
      <c r="BN99" s="2">
        <v>92.9</v>
      </c>
      <c r="BO99" s="2">
        <v>93.0</v>
      </c>
      <c r="BP99" s="2">
        <v>98.9</v>
      </c>
      <c r="BQ99" s="2">
        <v>93.0</v>
      </c>
      <c r="BS99" s="3" t="str">
        <f>VLOOKUP(B99, Metadata!A:B, 2, FALSE)</f>
        <v>Latin America &amp; Caribbean</v>
      </c>
    </row>
    <row r="100" hidden="1">
      <c r="A100" s="2" t="s">
        <v>396</v>
      </c>
      <c r="B100" s="2" t="s">
        <v>240</v>
      </c>
      <c r="C100" s="2" t="s">
        <v>4</v>
      </c>
      <c r="D100" s="2" t="s">
        <v>5</v>
      </c>
      <c r="AI100" s="2">
        <v>99.8410486298035</v>
      </c>
      <c r="AJ100" s="2">
        <v>99.8771376921154</v>
      </c>
      <c r="AK100" s="2">
        <v>99.8662160261871</v>
      </c>
      <c r="AL100" s="2">
        <v>99.859190541875</v>
      </c>
      <c r="AM100" s="2">
        <v>99.8623289035528</v>
      </c>
      <c r="AN100" s="2">
        <v>99.8673397055848</v>
      </c>
      <c r="AO100" s="2">
        <v>99.8645536645704</v>
      </c>
      <c r="AP100" s="2">
        <v>99.8764416185809</v>
      </c>
      <c r="AQ100" s="2">
        <v>99.8907389756902</v>
      </c>
      <c r="AR100" s="2">
        <v>99.8857540552386</v>
      </c>
      <c r="AS100" s="2">
        <v>99.441643111124</v>
      </c>
      <c r="AT100" s="2">
        <v>99.4664430681857</v>
      </c>
      <c r="AU100" s="2">
        <v>99.4863294366507</v>
      </c>
      <c r="AV100" s="2">
        <v>99.5284253858734</v>
      </c>
      <c r="AW100" s="2">
        <v>99.5231891566816</v>
      </c>
      <c r="AX100" s="2">
        <v>99.5332329224938</v>
      </c>
      <c r="AY100" s="2">
        <v>99.5844244136188</v>
      </c>
      <c r="AZ100" s="2">
        <v>99.5944463812784</v>
      </c>
      <c r="BA100" s="2">
        <v>99.625104814071</v>
      </c>
      <c r="BB100" s="2">
        <v>99.6724365102705</v>
      </c>
      <c r="BC100" s="2">
        <v>99.7815731177217</v>
      </c>
      <c r="BD100" s="2">
        <v>99.7844276066565</v>
      </c>
      <c r="BE100" s="2">
        <v>99.895144692711</v>
      </c>
      <c r="BF100" s="2">
        <v>99.8987383835925</v>
      </c>
      <c r="BG100" s="2">
        <v>99.9172073782315</v>
      </c>
      <c r="BH100" s="2">
        <v>99.4412555922339</v>
      </c>
      <c r="BI100" s="2">
        <v>99.8749398314557</v>
      </c>
      <c r="BJ100" s="2">
        <v>99.9597217073415</v>
      </c>
      <c r="BK100" s="2">
        <v>99.9626435667928</v>
      </c>
      <c r="BL100" s="2">
        <v>99.9496095685706</v>
      </c>
      <c r="BM100" s="2">
        <v>99.9683058935554</v>
      </c>
      <c r="BN100" s="2">
        <v>99.9798908670507</v>
      </c>
      <c r="BO100" s="2">
        <v>99.9798001329497</v>
      </c>
      <c r="BP100" s="2">
        <v>99.9883997819596</v>
      </c>
      <c r="BQ100" s="2">
        <v>99.9679657645831</v>
      </c>
      <c r="BS100" s="3" t="str">
        <f>VLOOKUP(B100, Metadata!A:B, 2, FALSE)</f>
        <v/>
      </c>
    </row>
    <row r="101" hidden="1">
      <c r="A101" s="2" t="s">
        <v>397</v>
      </c>
      <c r="B101" s="2" t="s">
        <v>241</v>
      </c>
      <c r="C101" s="2" t="s">
        <v>4</v>
      </c>
      <c r="D101" s="2" t="s">
        <v>5</v>
      </c>
      <c r="AI101" s="2">
        <v>100.0</v>
      </c>
      <c r="AJ101" s="2">
        <v>100.0</v>
      </c>
      <c r="AK101" s="2">
        <v>100.0</v>
      </c>
      <c r="AL101" s="2">
        <v>100.0</v>
      </c>
      <c r="AM101" s="2">
        <v>100.0</v>
      </c>
      <c r="AN101" s="2">
        <v>100.0</v>
      </c>
      <c r="AO101" s="2">
        <v>100.0</v>
      </c>
      <c r="AP101" s="2">
        <v>100.0</v>
      </c>
      <c r="AQ101" s="2">
        <v>100.0</v>
      </c>
      <c r="AR101" s="2">
        <v>100.0</v>
      </c>
      <c r="AS101" s="2">
        <v>100.0</v>
      </c>
      <c r="AT101" s="2">
        <v>100.0</v>
      </c>
      <c r="AU101" s="2">
        <v>100.0</v>
      </c>
      <c r="AV101" s="2">
        <v>100.0</v>
      </c>
      <c r="AW101" s="2">
        <v>100.0</v>
      </c>
      <c r="AX101" s="2">
        <v>100.0</v>
      </c>
      <c r="AY101" s="2">
        <v>100.0</v>
      </c>
      <c r="AZ101" s="2">
        <v>100.0</v>
      </c>
      <c r="BA101" s="2">
        <v>100.0</v>
      </c>
      <c r="BB101" s="2">
        <v>100.0</v>
      </c>
      <c r="BC101" s="2">
        <v>100.0</v>
      </c>
      <c r="BD101" s="2">
        <v>100.0</v>
      </c>
      <c r="BE101" s="2">
        <v>100.0</v>
      </c>
      <c r="BF101" s="2">
        <v>100.0</v>
      </c>
      <c r="BG101" s="2">
        <v>100.0</v>
      </c>
      <c r="BH101" s="2">
        <v>100.0</v>
      </c>
      <c r="BI101" s="2">
        <v>100.0</v>
      </c>
      <c r="BJ101" s="2">
        <v>100.0</v>
      </c>
      <c r="BK101" s="2">
        <v>100.0</v>
      </c>
      <c r="BL101" s="2">
        <v>100.0</v>
      </c>
      <c r="BM101" s="2">
        <v>100.0</v>
      </c>
      <c r="BN101" s="2">
        <v>100.0</v>
      </c>
      <c r="BO101" s="2">
        <v>100.0</v>
      </c>
      <c r="BP101" s="2">
        <v>100.0</v>
      </c>
      <c r="BQ101" s="2">
        <v>100.0</v>
      </c>
      <c r="BS101" s="3" t="str">
        <f>VLOOKUP(B101, Metadata!A:B, 2, FALSE)</f>
        <v>East Asia &amp; Pacific</v>
      </c>
    </row>
    <row r="102" hidden="1">
      <c r="A102" s="2" t="s">
        <v>398</v>
      </c>
      <c r="B102" s="2" t="s">
        <v>242</v>
      </c>
      <c r="C102" s="2" t="s">
        <v>4</v>
      </c>
      <c r="D102" s="2" t="s">
        <v>5</v>
      </c>
      <c r="AJ102" s="2">
        <v>54.781937</v>
      </c>
      <c r="AK102" s="2">
        <v>58.913112</v>
      </c>
      <c r="AL102" s="2">
        <v>61.100156</v>
      </c>
      <c r="AM102" s="2">
        <v>64.733947</v>
      </c>
      <c r="AN102" s="2">
        <v>66.122022</v>
      </c>
      <c r="AO102" s="2">
        <v>61.68112</v>
      </c>
      <c r="AP102" s="2">
        <v>64.794754</v>
      </c>
      <c r="AQ102" s="2">
        <v>66.859519</v>
      </c>
      <c r="AR102" s="2">
        <v>67.394103</v>
      </c>
      <c r="AS102" s="2">
        <v>67.4</v>
      </c>
      <c r="AT102" s="2">
        <v>64.2</v>
      </c>
      <c r="AU102" s="2">
        <v>63.1</v>
      </c>
      <c r="AV102" s="2">
        <v>65.1</v>
      </c>
      <c r="AW102" s="2">
        <v>67.1</v>
      </c>
      <c r="AX102" s="2">
        <v>68.9</v>
      </c>
      <c r="AY102" s="2">
        <v>71.3</v>
      </c>
      <c r="AZ102" s="2">
        <v>73.5</v>
      </c>
      <c r="BA102" s="2">
        <v>76.4</v>
      </c>
      <c r="BB102" s="2">
        <v>78.3</v>
      </c>
      <c r="BC102" s="2">
        <v>81.0</v>
      </c>
      <c r="BD102" s="2">
        <v>82.2</v>
      </c>
      <c r="BE102" s="2">
        <v>83.6</v>
      </c>
      <c r="BF102" s="2">
        <v>87.2</v>
      </c>
      <c r="BG102" s="2">
        <v>88.7</v>
      </c>
      <c r="BH102" s="2">
        <v>90.0</v>
      </c>
      <c r="BI102" s="2">
        <v>91.6</v>
      </c>
      <c r="BJ102" s="2">
        <v>86.5</v>
      </c>
      <c r="BK102" s="2">
        <v>91.6</v>
      </c>
      <c r="BL102" s="2">
        <v>91.1</v>
      </c>
      <c r="BM102" s="2">
        <v>93.1</v>
      </c>
      <c r="BN102" s="2">
        <v>94.1</v>
      </c>
      <c r="BO102" s="2">
        <v>94.4</v>
      </c>
      <c r="BP102" s="2">
        <v>95.6</v>
      </c>
      <c r="BQ102" s="2">
        <v>95.5</v>
      </c>
      <c r="BS102" s="3" t="str">
        <f>VLOOKUP(B102, Metadata!A:B, 2, FALSE)</f>
        <v>Latin America &amp; Caribbean</v>
      </c>
    </row>
    <row r="103" hidden="1">
      <c r="A103" s="2" t="s">
        <v>399</v>
      </c>
      <c r="B103" s="2" t="s">
        <v>243</v>
      </c>
      <c r="C103" s="2" t="s">
        <v>4</v>
      </c>
      <c r="D103" s="2" t="s">
        <v>5</v>
      </c>
      <c r="AS103" s="2">
        <v>17.8250938838146</v>
      </c>
      <c r="AT103" s="2">
        <v>18.6965486516667</v>
      </c>
      <c r="AU103" s="2">
        <v>19.4021319433321</v>
      </c>
      <c r="AV103" s="2">
        <v>20.8706723986506</v>
      </c>
      <c r="AW103" s="2">
        <v>21.9171676595952</v>
      </c>
      <c r="AX103" s="2">
        <v>21.657755928402</v>
      </c>
      <c r="AY103" s="2">
        <v>24.2942555063766</v>
      </c>
      <c r="AZ103" s="2">
        <v>25.8446432725443</v>
      </c>
      <c r="BA103" s="2">
        <v>25.7994487109563</v>
      </c>
      <c r="BB103" s="2">
        <v>27.0200867482177</v>
      </c>
      <c r="BC103" s="2">
        <v>28.6780800085282</v>
      </c>
      <c r="BD103" s="2">
        <v>29.1651687599528</v>
      </c>
      <c r="BE103" s="2">
        <v>31.8931961608523</v>
      </c>
      <c r="BF103" s="2">
        <v>32.8816239986801</v>
      </c>
      <c r="BG103" s="2">
        <v>35.3355389595465</v>
      </c>
      <c r="BH103" s="2">
        <v>35.4457879058715</v>
      </c>
      <c r="BI103" s="2">
        <v>40.5825141572233</v>
      </c>
      <c r="BJ103" s="2">
        <v>41.4700007412761</v>
      </c>
      <c r="BK103" s="2">
        <v>43.9720388425801</v>
      </c>
      <c r="BL103" s="2">
        <v>45.014803870368</v>
      </c>
      <c r="BM103" s="2">
        <v>46.3325205711702</v>
      </c>
      <c r="BN103" s="2">
        <v>48.0116236625576</v>
      </c>
      <c r="BO103" s="2">
        <v>48.6044269308349</v>
      </c>
      <c r="BP103" s="2">
        <v>50.5208896795623</v>
      </c>
      <c r="BQ103" s="2">
        <v>52.4769402918894</v>
      </c>
      <c r="BS103" s="3" t="str">
        <f>VLOOKUP(B103, Metadata!A:B, 2, FALSE)</f>
        <v/>
      </c>
    </row>
    <row r="104" hidden="1">
      <c r="A104" s="2" t="s">
        <v>400</v>
      </c>
      <c r="B104" s="2" t="s">
        <v>244</v>
      </c>
      <c r="C104" s="2" t="s">
        <v>4</v>
      </c>
      <c r="D104" s="2" t="s">
        <v>5</v>
      </c>
      <c r="AI104" s="2">
        <v>100.0</v>
      </c>
      <c r="AJ104" s="2">
        <v>100.0</v>
      </c>
      <c r="AK104" s="2">
        <v>100.0</v>
      </c>
      <c r="AL104" s="2">
        <v>100.0</v>
      </c>
      <c r="AM104" s="2">
        <v>100.0</v>
      </c>
      <c r="AN104" s="2">
        <v>100.0</v>
      </c>
      <c r="AO104" s="2">
        <v>100.0</v>
      </c>
      <c r="AP104" s="2">
        <v>100.0</v>
      </c>
      <c r="AQ104" s="2">
        <v>100.0</v>
      </c>
      <c r="AR104" s="2">
        <v>100.0</v>
      </c>
      <c r="AS104" s="2">
        <v>100.0</v>
      </c>
      <c r="AT104" s="2">
        <v>100.0</v>
      </c>
      <c r="AU104" s="2">
        <v>100.0</v>
      </c>
      <c r="AV104" s="2">
        <v>100.0</v>
      </c>
      <c r="AW104" s="2">
        <v>99.9</v>
      </c>
      <c r="AX104" s="2">
        <v>99.9</v>
      </c>
      <c r="AY104" s="2">
        <v>99.8</v>
      </c>
      <c r="AZ104" s="2">
        <v>99.8</v>
      </c>
      <c r="BA104" s="2">
        <v>100.0</v>
      </c>
      <c r="BB104" s="2">
        <v>100.0</v>
      </c>
      <c r="BC104" s="2">
        <v>100.0</v>
      </c>
      <c r="BD104" s="2">
        <v>100.0</v>
      </c>
      <c r="BE104" s="2">
        <v>100.0</v>
      </c>
      <c r="BF104" s="2">
        <v>100.0</v>
      </c>
      <c r="BG104" s="2">
        <v>100.0</v>
      </c>
      <c r="BH104" s="2">
        <v>100.0</v>
      </c>
      <c r="BI104" s="2">
        <v>100.0</v>
      </c>
      <c r="BJ104" s="2">
        <v>100.0</v>
      </c>
      <c r="BK104" s="2">
        <v>100.0</v>
      </c>
      <c r="BL104" s="2">
        <v>100.0</v>
      </c>
      <c r="BM104" s="2">
        <v>100.0</v>
      </c>
      <c r="BN104" s="2">
        <v>100.0</v>
      </c>
      <c r="BO104" s="2">
        <v>100.0</v>
      </c>
      <c r="BP104" s="2">
        <v>100.0</v>
      </c>
      <c r="BQ104" s="2">
        <v>100.0</v>
      </c>
      <c r="BS104" s="3" t="str">
        <f>VLOOKUP(B104, Metadata!A:B, 2, FALSE)</f>
        <v>Europe &amp; Central Asia</v>
      </c>
    </row>
    <row r="105" hidden="1">
      <c r="A105" s="2" t="s">
        <v>401</v>
      </c>
      <c r="B105" s="2" t="s">
        <v>245</v>
      </c>
      <c r="C105" s="2" t="s">
        <v>4</v>
      </c>
      <c r="D105" s="2" t="s">
        <v>5</v>
      </c>
      <c r="AN105" s="2">
        <v>31.3</v>
      </c>
      <c r="AO105" s="2">
        <v>30.0130176544189</v>
      </c>
      <c r="AP105" s="2">
        <v>30.5570373535156</v>
      </c>
      <c r="AQ105" s="2">
        <v>31.0969753265381</v>
      </c>
      <c r="AR105" s="2">
        <v>31.6320724487305</v>
      </c>
      <c r="AS105" s="2">
        <v>33.7</v>
      </c>
      <c r="AT105" s="2">
        <v>31.5</v>
      </c>
      <c r="AU105" s="2">
        <v>33.1</v>
      </c>
      <c r="AV105" s="2">
        <v>31.6</v>
      </c>
      <c r="AW105" s="2">
        <v>34.1</v>
      </c>
      <c r="AX105" s="2">
        <v>34.5</v>
      </c>
      <c r="AY105" s="2">
        <v>33.9</v>
      </c>
      <c r="AZ105" s="2">
        <v>35.5</v>
      </c>
      <c r="BA105" s="2">
        <v>36.1</v>
      </c>
      <c r="BB105" s="2">
        <v>36.6</v>
      </c>
      <c r="BC105" s="2">
        <v>37.2</v>
      </c>
      <c r="BD105" s="2">
        <v>37.8</v>
      </c>
      <c r="BE105" s="2">
        <v>37.9</v>
      </c>
      <c r="BF105" s="2">
        <v>38.9</v>
      </c>
      <c r="BG105" s="2">
        <v>39.6</v>
      </c>
      <c r="BH105" s="2">
        <v>40.8</v>
      </c>
      <c r="BI105" s="2">
        <v>40.4</v>
      </c>
      <c r="BJ105" s="2">
        <v>43.3</v>
      </c>
      <c r="BK105" s="2">
        <v>44.4</v>
      </c>
      <c r="BL105" s="2">
        <v>45.4</v>
      </c>
      <c r="BM105" s="2">
        <v>46.3</v>
      </c>
      <c r="BN105" s="2">
        <v>47.2</v>
      </c>
      <c r="BO105" s="2">
        <v>49.3</v>
      </c>
      <c r="BP105" s="2">
        <v>51.3</v>
      </c>
      <c r="BQ105" s="2">
        <v>53.9</v>
      </c>
      <c r="BS105" s="3" t="str">
        <f>VLOOKUP(B105, Metadata!A:B, 2, FALSE)</f>
        <v>Latin America &amp; Caribbean</v>
      </c>
    </row>
    <row r="106" hidden="1">
      <c r="A106" s="2" t="s">
        <v>402</v>
      </c>
      <c r="B106" s="2" t="s">
        <v>246</v>
      </c>
      <c r="C106" s="2" t="s">
        <v>4</v>
      </c>
      <c r="D106" s="2" t="s">
        <v>5</v>
      </c>
      <c r="AI106" s="2">
        <v>100.0</v>
      </c>
      <c r="AJ106" s="2">
        <v>100.0</v>
      </c>
      <c r="AK106" s="2">
        <v>100.0</v>
      </c>
      <c r="AL106" s="2">
        <v>100.0</v>
      </c>
      <c r="AM106" s="2">
        <v>100.0</v>
      </c>
      <c r="AN106" s="2">
        <v>100.0</v>
      </c>
      <c r="AO106" s="2">
        <v>100.0</v>
      </c>
      <c r="AP106" s="2">
        <v>100.0</v>
      </c>
      <c r="AQ106" s="2">
        <v>100.0</v>
      </c>
      <c r="AR106" s="2">
        <v>100.0</v>
      </c>
      <c r="AS106" s="2">
        <v>100.0</v>
      </c>
      <c r="AT106" s="2">
        <v>100.0</v>
      </c>
      <c r="AU106" s="2">
        <v>100.0</v>
      </c>
      <c r="AV106" s="2">
        <v>100.0</v>
      </c>
      <c r="AW106" s="2">
        <v>100.0</v>
      </c>
      <c r="AX106" s="2">
        <v>99.9</v>
      </c>
      <c r="AY106" s="2">
        <v>99.9</v>
      </c>
      <c r="AZ106" s="2">
        <v>100.0</v>
      </c>
      <c r="BA106" s="2">
        <v>100.0</v>
      </c>
      <c r="BB106" s="2">
        <v>100.0</v>
      </c>
      <c r="BC106" s="2">
        <v>100.0</v>
      </c>
      <c r="BD106" s="2">
        <v>100.0</v>
      </c>
      <c r="BE106" s="2">
        <v>100.0</v>
      </c>
      <c r="BF106" s="2">
        <v>100.0</v>
      </c>
      <c r="BG106" s="2">
        <v>100.0</v>
      </c>
      <c r="BH106" s="2">
        <v>100.0</v>
      </c>
      <c r="BI106" s="2">
        <v>100.0</v>
      </c>
      <c r="BJ106" s="2">
        <v>100.0</v>
      </c>
      <c r="BK106" s="2">
        <v>100.0</v>
      </c>
      <c r="BL106" s="2">
        <v>100.0</v>
      </c>
      <c r="BM106" s="2">
        <v>100.0</v>
      </c>
      <c r="BN106" s="2">
        <v>100.0</v>
      </c>
      <c r="BO106" s="2">
        <v>100.0</v>
      </c>
      <c r="BP106" s="2">
        <v>100.0</v>
      </c>
      <c r="BQ106" s="2">
        <v>100.0</v>
      </c>
      <c r="BS106" s="3" t="str">
        <f>VLOOKUP(B106, Metadata!A:B, 2, FALSE)</f>
        <v>Europe &amp; Central Asia</v>
      </c>
    </row>
    <row r="107" hidden="1">
      <c r="A107" s="2" t="s">
        <v>403</v>
      </c>
      <c r="B107" s="2" t="s">
        <v>247</v>
      </c>
      <c r="C107" s="2" t="s">
        <v>4</v>
      </c>
      <c r="D107" s="2" t="s">
        <v>5</v>
      </c>
      <c r="AS107" s="2">
        <v>84.5514200391953</v>
      </c>
      <c r="AT107" s="2">
        <v>85.2605452880295</v>
      </c>
      <c r="AU107" s="2">
        <v>85.5983613837498</v>
      </c>
      <c r="AV107" s="2">
        <v>86.5581956902272</v>
      </c>
      <c r="AW107" s="2">
        <v>86.7184905424753</v>
      </c>
      <c r="AX107" s="2">
        <v>87.7333227566688</v>
      </c>
      <c r="AY107" s="2">
        <v>88.1680891466254</v>
      </c>
      <c r="AZ107" s="2">
        <v>89.3242121638932</v>
      </c>
      <c r="BA107" s="2">
        <v>90.1665294008948</v>
      </c>
      <c r="BB107" s="2">
        <v>90.6731762332911</v>
      </c>
      <c r="BC107" s="2">
        <v>91.453975356488</v>
      </c>
      <c r="BD107" s="2">
        <v>92.5084956175417</v>
      </c>
      <c r="BE107" s="2">
        <v>92.7691494735879</v>
      </c>
      <c r="BF107" s="2">
        <v>93.7820283085729</v>
      </c>
      <c r="BG107" s="2">
        <v>94.4238714593445</v>
      </c>
      <c r="BH107" s="2">
        <v>95.1768053412642</v>
      </c>
      <c r="BI107" s="2">
        <v>95.836371597902</v>
      </c>
      <c r="BJ107" s="2">
        <v>96.6040591336246</v>
      </c>
      <c r="BK107" s="2">
        <v>97.7498443251445</v>
      </c>
      <c r="BL107" s="2">
        <v>97.8715752983766</v>
      </c>
      <c r="BM107" s="2">
        <v>98.0567134046334</v>
      </c>
      <c r="BN107" s="2">
        <v>99.1094167920247</v>
      </c>
      <c r="BO107" s="2">
        <v>98.9686574577803</v>
      </c>
      <c r="BP107" s="2">
        <v>99.0885815861564</v>
      </c>
      <c r="BQ107" s="2">
        <v>99.1710314335576</v>
      </c>
      <c r="BS107" s="3" t="str">
        <f>VLOOKUP(B107, Metadata!A:B, 2, FALSE)</f>
        <v/>
      </c>
    </row>
    <row r="108" hidden="1">
      <c r="A108" s="2" t="s">
        <v>404</v>
      </c>
      <c r="B108" s="2" t="s">
        <v>248</v>
      </c>
      <c r="C108" s="2" t="s">
        <v>4</v>
      </c>
      <c r="D108" s="2" t="s">
        <v>5</v>
      </c>
      <c r="AS108" s="2">
        <v>73.969402080054</v>
      </c>
      <c r="AT108" s="2">
        <v>74.5923222873134</v>
      </c>
      <c r="AU108" s="2">
        <v>75.0832806940644</v>
      </c>
      <c r="AV108" s="2">
        <v>76.1386132449586</v>
      </c>
      <c r="AW108" s="2">
        <v>76.1483980246807</v>
      </c>
      <c r="AX108" s="2">
        <v>77.0633406781296</v>
      </c>
      <c r="AY108" s="2">
        <v>77.8588264673514</v>
      </c>
      <c r="AZ108" s="2">
        <v>78.6157714157842</v>
      </c>
      <c r="BA108" s="2">
        <v>79.4569249530859</v>
      </c>
      <c r="BB108" s="2">
        <v>79.9535110770847</v>
      </c>
      <c r="BC108" s="2">
        <v>80.6525233114686</v>
      </c>
      <c r="BD108" s="2">
        <v>81.9218590699685</v>
      </c>
      <c r="BE108" s="2">
        <v>82.4388992783113</v>
      </c>
      <c r="BF108" s="2">
        <v>83.362705362845</v>
      </c>
      <c r="BG108" s="2">
        <v>83.9428079507592</v>
      </c>
      <c r="BH108" s="2">
        <v>84.8058720870898</v>
      </c>
      <c r="BI108" s="2">
        <v>86.2020439952187</v>
      </c>
      <c r="BJ108" s="2">
        <v>87.1825242962377</v>
      </c>
      <c r="BK108" s="2">
        <v>88.2076680736069</v>
      </c>
      <c r="BL108" s="2">
        <v>88.5722643080015</v>
      </c>
      <c r="BM108" s="2">
        <v>88.9159802522601</v>
      </c>
      <c r="BN108" s="2">
        <v>90.0247787023894</v>
      </c>
      <c r="BO108" s="2">
        <v>89.9534822341794</v>
      </c>
      <c r="BP108" s="2">
        <v>90.3195251994939</v>
      </c>
      <c r="BQ108" s="2">
        <v>90.6841858083156</v>
      </c>
      <c r="BS108" s="3" t="str">
        <f>VLOOKUP(B108, Metadata!A:B, 2, FALSE)</f>
        <v/>
      </c>
    </row>
    <row r="109" hidden="1">
      <c r="A109" s="2" t="s">
        <v>405</v>
      </c>
      <c r="B109" s="2" t="s">
        <v>249</v>
      </c>
      <c r="C109" s="2" t="s">
        <v>4</v>
      </c>
      <c r="D109" s="2" t="s">
        <v>5</v>
      </c>
      <c r="AQ109" s="2">
        <v>36.9551243951465</v>
      </c>
      <c r="AR109" s="2">
        <v>38.3464651920779</v>
      </c>
      <c r="AS109" s="2">
        <v>36.3689582630808</v>
      </c>
      <c r="AT109" s="2">
        <v>37.1479649369425</v>
      </c>
      <c r="AU109" s="2">
        <v>38.6893559267818</v>
      </c>
      <c r="AV109" s="2">
        <v>40.542823416936</v>
      </c>
      <c r="AW109" s="2">
        <v>40.4933899557041</v>
      </c>
      <c r="AX109" s="2">
        <v>41.5257786468696</v>
      </c>
      <c r="AY109" s="2">
        <v>43.9730686063336</v>
      </c>
      <c r="AZ109" s="2">
        <v>44.215583204942</v>
      </c>
      <c r="BA109" s="2">
        <v>45.5210086884903</v>
      </c>
      <c r="BB109" s="2">
        <v>46.4341542738551</v>
      </c>
      <c r="BC109" s="2">
        <v>47.3202605943909</v>
      </c>
      <c r="BD109" s="2">
        <v>49.6649300870432</v>
      </c>
      <c r="BE109" s="2">
        <v>51.3225798076436</v>
      </c>
      <c r="BF109" s="2">
        <v>52.2853038775898</v>
      </c>
      <c r="BG109" s="2">
        <v>53.0030674696882</v>
      </c>
      <c r="BH109" s="2">
        <v>54.526027751815</v>
      </c>
      <c r="BI109" s="2">
        <v>58.3995349206974</v>
      </c>
      <c r="BJ109" s="2">
        <v>60.3233347999931</v>
      </c>
      <c r="BK109" s="2">
        <v>61.3597693909093</v>
      </c>
      <c r="BL109" s="2">
        <v>62.7746020826155</v>
      </c>
      <c r="BM109" s="2">
        <v>63.9419318251959</v>
      </c>
      <c r="BN109" s="2">
        <v>65.6033228695587</v>
      </c>
      <c r="BO109" s="2">
        <v>66.1150819903058</v>
      </c>
      <c r="BP109" s="2">
        <v>67.5062058598898</v>
      </c>
      <c r="BQ109" s="2">
        <v>68.9457220651021</v>
      </c>
      <c r="BS109" s="3" t="str">
        <f>VLOOKUP(B109, Metadata!A:B, 2, FALSE)</f>
        <v/>
      </c>
    </row>
    <row r="110" hidden="1">
      <c r="A110" s="2" t="s">
        <v>406</v>
      </c>
      <c r="B110" s="2" t="s">
        <v>251</v>
      </c>
      <c r="C110" s="2" t="s">
        <v>4</v>
      </c>
      <c r="D110" s="2" t="s">
        <v>5</v>
      </c>
      <c r="AQ110" s="2">
        <v>54.1593105216885</v>
      </c>
      <c r="AR110" s="2">
        <v>55.4558199205738</v>
      </c>
      <c r="AS110" s="2">
        <v>55.6481107966122</v>
      </c>
      <c r="AT110" s="2">
        <v>56.70789885005</v>
      </c>
      <c r="AU110" s="2">
        <v>57.4182135042788</v>
      </c>
      <c r="AV110" s="2">
        <v>60.0952816511328</v>
      </c>
      <c r="AW110" s="2">
        <v>59.1432742468789</v>
      </c>
      <c r="AX110" s="2">
        <v>60.2242112828434</v>
      </c>
      <c r="AY110" s="2">
        <v>61.1269826223225</v>
      </c>
      <c r="AZ110" s="2">
        <v>62.3043148414168</v>
      </c>
      <c r="BA110" s="2">
        <v>63.3309391549099</v>
      </c>
      <c r="BB110" s="2">
        <v>63.1155416562242</v>
      </c>
      <c r="BC110" s="2">
        <v>63.9547486455891</v>
      </c>
      <c r="BD110" s="2">
        <v>68.0498486783031</v>
      </c>
      <c r="BE110" s="2">
        <v>67.7534282751763</v>
      </c>
      <c r="BF110" s="2">
        <v>69.2012849039335</v>
      </c>
      <c r="BG110" s="2">
        <v>68.4749901174028</v>
      </c>
      <c r="BH110" s="2">
        <v>68.7868324940631</v>
      </c>
      <c r="BI110" s="2">
        <v>72.5460349141719</v>
      </c>
      <c r="BJ110" s="2">
        <v>71.6466137332559</v>
      </c>
      <c r="BK110" s="2">
        <v>73.151878223369</v>
      </c>
      <c r="BL110" s="2">
        <v>73.9089088089712</v>
      </c>
      <c r="BM110" s="2">
        <v>74.4924621989682</v>
      </c>
      <c r="BN110" s="2">
        <v>76.4698873250238</v>
      </c>
      <c r="BO110" s="2">
        <v>76.9975316257502</v>
      </c>
      <c r="BP110" s="2">
        <v>77.9201343756954</v>
      </c>
      <c r="BQ110" s="2">
        <v>78.8148230386128</v>
      </c>
      <c r="BS110" s="3" t="str">
        <f>VLOOKUP(B110, Metadata!A:B, 2, FALSE)</f>
        <v/>
      </c>
    </row>
    <row r="111" hidden="1">
      <c r="A111" s="2" t="s">
        <v>407</v>
      </c>
      <c r="B111" s="2" t="s">
        <v>252</v>
      </c>
      <c r="C111" s="2" t="s">
        <v>4</v>
      </c>
      <c r="D111" s="2" t="s">
        <v>5</v>
      </c>
      <c r="AJ111" s="2">
        <v>48.9</v>
      </c>
      <c r="AK111" s="2">
        <v>66.6965637207031</v>
      </c>
      <c r="AL111" s="2">
        <v>55.43</v>
      </c>
      <c r="AM111" s="2">
        <v>62.8</v>
      </c>
      <c r="AN111" s="2">
        <v>66.86</v>
      </c>
      <c r="AO111" s="2">
        <v>72.39</v>
      </c>
      <c r="AP111" s="2">
        <v>80.3</v>
      </c>
      <c r="AQ111" s="2">
        <v>80.94</v>
      </c>
      <c r="AR111" s="2">
        <v>83.73</v>
      </c>
      <c r="AS111" s="2">
        <v>86.3</v>
      </c>
      <c r="AT111" s="2">
        <v>86.3</v>
      </c>
      <c r="AU111" s="2">
        <v>87.6</v>
      </c>
      <c r="AV111" s="2">
        <v>87.9</v>
      </c>
      <c r="AW111" s="2">
        <v>89.0</v>
      </c>
      <c r="AX111" s="2">
        <v>84.8</v>
      </c>
      <c r="AY111" s="2">
        <v>90.6</v>
      </c>
      <c r="AZ111" s="2">
        <v>91.1</v>
      </c>
      <c r="BA111" s="2">
        <v>92.7</v>
      </c>
      <c r="BB111" s="2">
        <v>93.6</v>
      </c>
      <c r="BC111" s="2">
        <v>94.2</v>
      </c>
      <c r="BD111" s="2">
        <v>94.8</v>
      </c>
      <c r="BE111" s="2">
        <v>96.0</v>
      </c>
      <c r="BF111" s="2">
        <v>96.5</v>
      </c>
      <c r="BG111" s="2">
        <v>97.0</v>
      </c>
      <c r="BH111" s="2">
        <v>97.5</v>
      </c>
      <c r="BI111" s="2">
        <v>97.6</v>
      </c>
      <c r="BJ111" s="2">
        <v>98.1</v>
      </c>
      <c r="BK111" s="2">
        <v>98.5</v>
      </c>
      <c r="BL111" s="2">
        <v>98.8</v>
      </c>
      <c r="BM111" s="2">
        <v>97.0</v>
      </c>
      <c r="BN111" s="2">
        <v>99.2</v>
      </c>
      <c r="BO111" s="2">
        <v>100.0</v>
      </c>
      <c r="BP111" s="2">
        <v>99.4</v>
      </c>
      <c r="BQ111" s="2">
        <v>99.9</v>
      </c>
      <c r="BS111" s="3" t="str">
        <f>VLOOKUP(B111, Metadata!A:B, 2, FALSE)</f>
        <v>East Asia &amp; Pacific</v>
      </c>
    </row>
    <row r="112" hidden="1">
      <c r="A112" s="2" t="s">
        <v>408</v>
      </c>
      <c r="B112" s="2" t="s">
        <v>253</v>
      </c>
      <c r="C112" s="2" t="s">
        <v>4</v>
      </c>
      <c r="D112" s="2" t="s">
        <v>5</v>
      </c>
      <c r="AS112" s="2">
        <v>25.915838451979</v>
      </c>
      <c r="AT112" s="2">
        <v>26.5068294884073</v>
      </c>
      <c r="AU112" s="2">
        <v>28.5052131821171</v>
      </c>
      <c r="AV112" s="2">
        <v>29.9019775434056</v>
      </c>
      <c r="AW112" s="2">
        <v>30.3216473598292</v>
      </c>
      <c r="AX112" s="2">
        <v>31.3064530521818</v>
      </c>
      <c r="AY112" s="2">
        <v>34.5817865450228</v>
      </c>
      <c r="AZ112" s="2">
        <v>34.419130893252</v>
      </c>
      <c r="BA112" s="2">
        <v>35.841119814232</v>
      </c>
      <c r="BB112" s="2">
        <v>37.3368109534318</v>
      </c>
      <c r="BC112" s="2">
        <v>38.2196110410566</v>
      </c>
      <c r="BD112" s="2">
        <v>39.5865233277689</v>
      </c>
      <c r="BE112" s="2">
        <v>42.3095050792506</v>
      </c>
      <c r="BF112" s="2">
        <v>42.9989187322935</v>
      </c>
      <c r="BG112" s="2">
        <v>44.5112693134577</v>
      </c>
      <c r="BH112" s="2">
        <v>46.7071456668839</v>
      </c>
      <c r="BI112" s="2">
        <v>50.6626258014594</v>
      </c>
      <c r="BJ112" s="2">
        <v>54.1468852720313</v>
      </c>
      <c r="BK112" s="2">
        <v>54.9448489168899</v>
      </c>
      <c r="BL112" s="2">
        <v>56.7377764694733</v>
      </c>
      <c r="BM112" s="2">
        <v>58.2396653821217</v>
      </c>
      <c r="BN112" s="2">
        <v>59.7443718318286</v>
      </c>
      <c r="BO112" s="2">
        <v>60.2610028883008</v>
      </c>
      <c r="BP112" s="2">
        <v>61.9225640121999</v>
      </c>
      <c r="BQ112" s="2">
        <v>63.6732469361987</v>
      </c>
      <c r="BS112" s="3" t="str">
        <f>VLOOKUP(B112, Metadata!A:B, 2, FALSE)</f>
        <v/>
      </c>
    </row>
    <row r="113" hidden="1">
      <c r="A113" s="2" t="s">
        <v>409</v>
      </c>
      <c r="B113" s="2" t="s">
        <v>254</v>
      </c>
      <c r="C113" s="2" t="s">
        <v>4</v>
      </c>
      <c r="D113" s="2" t="s">
        <v>5</v>
      </c>
      <c r="AI113" s="2">
        <v>100.0</v>
      </c>
      <c r="AJ113" s="2">
        <v>100.0</v>
      </c>
      <c r="AK113" s="2">
        <v>100.0</v>
      </c>
      <c r="AL113" s="2">
        <v>100.0</v>
      </c>
      <c r="AM113" s="2">
        <v>100.0</v>
      </c>
      <c r="AN113" s="2">
        <v>100.0</v>
      </c>
      <c r="AO113" s="2">
        <v>100.0</v>
      </c>
      <c r="AP113" s="2">
        <v>100.0</v>
      </c>
      <c r="AQ113" s="2">
        <v>100.0</v>
      </c>
      <c r="AR113" s="2">
        <v>100.0</v>
      </c>
      <c r="AS113" s="2">
        <v>100.0</v>
      </c>
      <c r="AT113" s="2">
        <v>100.0</v>
      </c>
      <c r="AU113" s="2">
        <v>100.0</v>
      </c>
      <c r="AV113" s="2">
        <v>100.0</v>
      </c>
      <c r="AW113" s="2">
        <v>100.0</v>
      </c>
      <c r="AX113" s="2">
        <v>100.0</v>
      </c>
      <c r="AY113" s="2">
        <v>100.0</v>
      </c>
      <c r="AZ113" s="2">
        <v>100.0</v>
      </c>
      <c r="BA113" s="2">
        <v>100.0</v>
      </c>
      <c r="BB113" s="2">
        <v>100.0</v>
      </c>
      <c r="BC113" s="2">
        <v>100.0</v>
      </c>
      <c r="BD113" s="2">
        <v>100.0</v>
      </c>
      <c r="BE113" s="2">
        <v>100.0</v>
      </c>
      <c r="BF113" s="2">
        <v>100.0</v>
      </c>
      <c r="BG113" s="2">
        <v>100.0</v>
      </c>
      <c r="BH113" s="2">
        <v>100.0</v>
      </c>
      <c r="BI113" s="2">
        <v>100.0</v>
      </c>
      <c r="BJ113" s="2">
        <v>100.0</v>
      </c>
      <c r="BK113" s="2">
        <v>100.0</v>
      </c>
      <c r="BL113" s="2">
        <v>100.0</v>
      </c>
      <c r="BM113" s="2">
        <v>100.0</v>
      </c>
      <c r="BN113" s="2">
        <v>100.0</v>
      </c>
      <c r="BO113" s="2">
        <v>100.0</v>
      </c>
      <c r="BP113" s="2">
        <v>100.0</v>
      </c>
      <c r="BQ113" s="2">
        <v>100.0</v>
      </c>
      <c r="BS113" s="3" t="str">
        <f>VLOOKUP(B113, Metadata!A:B, 2, FALSE)</f>
        <v>Europe &amp; Central Asia</v>
      </c>
    </row>
    <row r="114" hidden="1">
      <c r="A114" s="2" t="s">
        <v>410</v>
      </c>
      <c r="B114" s="2" t="s">
        <v>255</v>
      </c>
      <c r="C114" s="2" t="s">
        <v>4</v>
      </c>
      <c r="D114" s="2" t="s">
        <v>5</v>
      </c>
      <c r="AL114" s="2">
        <v>50.9</v>
      </c>
      <c r="AM114" s="2">
        <v>49.8113098144531</v>
      </c>
      <c r="AN114" s="2">
        <v>51.4087753295898</v>
      </c>
      <c r="AO114" s="2">
        <v>53.0035209655762</v>
      </c>
      <c r="AP114" s="2">
        <v>54.5948638916016</v>
      </c>
      <c r="AQ114" s="2">
        <v>56.1821327209473</v>
      </c>
      <c r="AR114" s="2">
        <v>60.1</v>
      </c>
      <c r="AS114" s="2">
        <v>60.3</v>
      </c>
      <c r="AT114" s="2">
        <v>62.0</v>
      </c>
      <c r="AU114" s="2">
        <v>62.3</v>
      </c>
      <c r="AV114" s="2">
        <v>65.4</v>
      </c>
      <c r="AW114" s="2">
        <v>64.4</v>
      </c>
      <c r="AX114" s="2">
        <v>68.8</v>
      </c>
      <c r="AY114" s="2">
        <v>67.9</v>
      </c>
      <c r="AZ114" s="2">
        <v>72.3</v>
      </c>
      <c r="BA114" s="2">
        <v>74.1</v>
      </c>
      <c r="BB114" s="2">
        <v>75.0</v>
      </c>
      <c r="BC114" s="2">
        <v>76.3</v>
      </c>
      <c r="BD114" s="2">
        <v>79.5</v>
      </c>
      <c r="BE114" s="2">
        <v>79.9</v>
      </c>
      <c r="BF114" s="2">
        <v>83.1</v>
      </c>
      <c r="BG114" s="2">
        <v>85.1</v>
      </c>
      <c r="BH114" s="2">
        <v>88.0</v>
      </c>
      <c r="BI114" s="2">
        <v>89.6</v>
      </c>
      <c r="BJ114" s="2">
        <v>91.8</v>
      </c>
      <c r="BK114" s="2">
        <v>95.7</v>
      </c>
      <c r="BL114" s="2">
        <v>95.9</v>
      </c>
      <c r="BM114" s="2">
        <v>96.5</v>
      </c>
      <c r="BN114" s="2">
        <v>99.6</v>
      </c>
      <c r="BO114" s="2">
        <v>99.2</v>
      </c>
      <c r="BP114" s="2">
        <v>99.5</v>
      </c>
      <c r="BQ114" s="2">
        <v>99.9</v>
      </c>
      <c r="BS114" s="3" t="str">
        <f>VLOOKUP(B114, Metadata!A:B, 2, FALSE)</f>
        <v>South Asia</v>
      </c>
    </row>
    <row r="115" hidden="1">
      <c r="A115" s="2" t="s">
        <v>411</v>
      </c>
      <c r="B115" s="2" t="s">
        <v>256</v>
      </c>
      <c r="C115" s="2" t="s">
        <v>4</v>
      </c>
      <c r="D115" s="2" t="s">
        <v>5</v>
      </c>
      <c r="BS115" s="3" t="str">
        <f>VLOOKUP(B115, Metadata!A:B, 2, FALSE)</f>
        <v>#N/A</v>
      </c>
    </row>
    <row r="116" hidden="1">
      <c r="A116" s="2" t="s">
        <v>412</v>
      </c>
      <c r="B116" s="2" t="s">
        <v>257</v>
      </c>
      <c r="C116" s="2" t="s">
        <v>4</v>
      </c>
      <c r="D116" s="2" t="s">
        <v>5</v>
      </c>
      <c r="AI116" s="2">
        <v>100.0</v>
      </c>
      <c r="AJ116" s="2">
        <v>100.0</v>
      </c>
      <c r="AK116" s="2">
        <v>100.0</v>
      </c>
      <c r="AL116" s="2">
        <v>100.0</v>
      </c>
      <c r="AM116" s="2">
        <v>100.0</v>
      </c>
      <c r="AN116" s="2">
        <v>100.0</v>
      </c>
      <c r="AO116" s="2">
        <v>100.0</v>
      </c>
      <c r="AP116" s="2">
        <v>100.0</v>
      </c>
      <c r="AQ116" s="2">
        <v>100.0</v>
      </c>
      <c r="AR116" s="2">
        <v>100.0</v>
      </c>
      <c r="AS116" s="2">
        <v>100.0</v>
      </c>
      <c r="AT116" s="2">
        <v>100.0</v>
      </c>
      <c r="AU116" s="2">
        <v>100.0</v>
      </c>
      <c r="AV116" s="2">
        <v>100.0</v>
      </c>
      <c r="AW116" s="2">
        <v>100.0</v>
      </c>
      <c r="AX116" s="2">
        <v>100.0</v>
      </c>
      <c r="AY116" s="2">
        <v>100.0</v>
      </c>
      <c r="AZ116" s="2">
        <v>100.0</v>
      </c>
      <c r="BA116" s="2">
        <v>100.0</v>
      </c>
      <c r="BB116" s="2">
        <v>100.0</v>
      </c>
      <c r="BC116" s="2">
        <v>100.0</v>
      </c>
      <c r="BD116" s="2">
        <v>100.0</v>
      </c>
      <c r="BE116" s="2">
        <v>100.0</v>
      </c>
      <c r="BF116" s="2">
        <v>100.0</v>
      </c>
      <c r="BG116" s="2">
        <v>100.0</v>
      </c>
      <c r="BH116" s="2">
        <v>100.0</v>
      </c>
      <c r="BI116" s="2">
        <v>100.0</v>
      </c>
      <c r="BJ116" s="2">
        <v>100.0</v>
      </c>
      <c r="BK116" s="2">
        <v>100.0</v>
      </c>
      <c r="BL116" s="2">
        <v>100.0</v>
      </c>
      <c r="BM116" s="2">
        <v>100.0</v>
      </c>
      <c r="BN116" s="2">
        <v>100.0</v>
      </c>
      <c r="BO116" s="2">
        <v>100.0</v>
      </c>
      <c r="BP116" s="2">
        <v>100.0</v>
      </c>
      <c r="BQ116" s="2">
        <v>100.0</v>
      </c>
      <c r="BS116" s="3" t="str">
        <f>VLOOKUP(B116, Metadata!A:B, 2, FALSE)</f>
        <v>Europe &amp; Central Asia</v>
      </c>
    </row>
    <row r="117" hidden="1">
      <c r="A117" s="2" t="s">
        <v>413</v>
      </c>
      <c r="B117" s="2" t="s">
        <v>258</v>
      </c>
      <c r="C117" s="2" t="s">
        <v>4</v>
      </c>
      <c r="D117" s="2" t="s">
        <v>5</v>
      </c>
      <c r="AS117" s="2">
        <v>97.9</v>
      </c>
      <c r="AT117" s="2">
        <v>98.1</v>
      </c>
      <c r="AU117" s="2">
        <v>98.1</v>
      </c>
      <c r="AV117" s="2">
        <v>98.2</v>
      </c>
      <c r="AW117" s="2">
        <v>98.3</v>
      </c>
      <c r="AX117" s="2">
        <v>98.4</v>
      </c>
      <c r="AY117" s="2">
        <v>98.4</v>
      </c>
      <c r="AZ117" s="2">
        <v>98.7</v>
      </c>
      <c r="BA117" s="2">
        <v>98.8</v>
      </c>
      <c r="BB117" s="2">
        <v>99.7</v>
      </c>
      <c r="BC117" s="2">
        <v>99.4</v>
      </c>
      <c r="BD117" s="2">
        <v>99.5</v>
      </c>
      <c r="BE117" s="2">
        <v>99.5</v>
      </c>
      <c r="BF117" s="2">
        <v>99.8</v>
      </c>
      <c r="BG117" s="2">
        <v>100.0</v>
      </c>
      <c r="BH117" s="2">
        <v>100.0</v>
      </c>
      <c r="BI117" s="2">
        <v>100.0</v>
      </c>
      <c r="BJ117" s="2">
        <v>99.9</v>
      </c>
      <c r="BK117" s="2">
        <v>100.0</v>
      </c>
      <c r="BL117" s="2">
        <v>100.0</v>
      </c>
      <c r="BM117" s="2">
        <v>100.0</v>
      </c>
      <c r="BN117" s="2">
        <v>100.0</v>
      </c>
      <c r="BO117" s="2">
        <v>100.0</v>
      </c>
      <c r="BP117" s="2">
        <v>100.0</v>
      </c>
      <c r="BQ117" s="2">
        <v>100.0</v>
      </c>
      <c r="BS117" s="3" t="str">
        <f>VLOOKUP(B117, Metadata!A:B, 2, FALSE)</f>
        <v>Middle East &amp; North Africa</v>
      </c>
    </row>
    <row r="118" hidden="1">
      <c r="A118" s="2" t="s">
        <v>414</v>
      </c>
      <c r="B118" s="2" t="s">
        <v>259</v>
      </c>
      <c r="C118" s="2" t="s">
        <v>4</v>
      </c>
      <c r="D118" s="2" t="s">
        <v>5</v>
      </c>
      <c r="AS118" s="2">
        <v>96.8</v>
      </c>
      <c r="AT118" s="2">
        <v>96.9</v>
      </c>
      <c r="AU118" s="2">
        <v>97.1</v>
      </c>
      <c r="AV118" s="2">
        <v>97.2</v>
      </c>
      <c r="AW118" s="2">
        <v>97.3</v>
      </c>
      <c r="AX118" s="2">
        <v>97.4</v>
      </c>
      <c r="AY118" s="2">
        <v>97.6</v>
      </c>
      <c r="AZ118" s="2">
        <v>98.1</v>
      </c>
      <c r="BA118" s="2">
        <v>97.9</v>
      </c>
      <c r="BB118" s="2">
        <v>98.1</v>
      </c>
      <c r="BC118" s="2">
        <v>98.4</v>
      </c>
      <c r="BD118" s="2">
        <v>98.0</v>
      </c>
      <c r="BE118" s="2">
        <v>99.3</v>
      </c>
      <c r="BF118" s="2">
        <v>99.0</v>
      </c>
      <c r="BG118" s="2">
        <v>99.2</v>
      </c>
      <c r="BH118" s="2">
        <v>99.4</v>
      </c>
      <c r="BI118" s="2">
        <v>99.7</v>
      </c>
      <c r="BJ118" s="2">
        <v>99.9</v>
      </c>
      <c r="BK118" s="2">
        <v>99.9</v>
      </c>
      <c r="BL118" s="2">
        <v>100.0</v>
      </c>
      <c r="BM118" s="2">
        <v>100.0</v>
      </c>
      <c r="BN118" s="2">
        <v>100.0</v>
      </c>
      <c r="BO118" s="2">
        <v>100.0</v>
      </c>
      <c r="BP118" s="2">
        <v>100.0</v>
      </c>
      <c r="BQ118" s="2">
        <v>100.0</v>
      </c>
      <c r="BS118" s="3" t="str">
        <f>VLOOKUP(B118, Metadata!A:B, 2, FALSE)</f>
        <v>Middle East &amp; North Africa</v>
      </c>
    </row>
    <row r="119" hidden="1">
      <c r="A119" s="2" t="s">
        <v>415</v>
      </c>
      <c r="B119" s="2" t="s">
        <v>260</v>
      </c>
      <c r="C119" s="2" t="s">
        <v>4</v>
      </c>
      <c r="D119" s="2" t="s">
        <v>5</v>
      </c>
      <c r="AI119" s="2">
        <v>100.0</v>
      </c>
      <c r="AJ119" s="2">
        <v>100.0</v>
      </c>
      <c r="AK119" s="2">
        <v>100.0</v>
      </c>
      <c r="AL119" s="2">
        <v>100.0</v>
      </c>
      <c r="AM119" s="2">
        <v>100.0</v>
      </c>
      <c r="AN119" s="2">
        <v>100.0</v>
      </c>
      <c r="AO119" s="2">
        <v>100.0</v>
      </c>
      <c r="AP119" s="2">
        <v>100.0</v>
      </c>
      <c r="AQ119" s="2">
        <v>100.0</v>
      </c>
      <c r="AR119" s="2">
        <v>100.0</v>
      </c>
      <c r="AS119" s="2">
        <v>100.0</v>
      </c>
      <c r="AT119" s="2">
        <v>100.0</v>
      </c>
      <c r="AU119" s="2">
        <v>100.0</v>
      </c>
      <c r="AV119" s="2">
        <v>100.0</v>
      </c>
      <c r="AW119" s="2">
        <v>100.0</v>
      </c>
      <c r="AX119" s="2">
        <v>100.0</v>
      </c>
      <c r="AY119" s="2">
        <v>100.0</v>
      </c>
      <c r="AZ119" s="2">
        <v>100.0</v>
      </c>
      <c r="BA119" s="2">
        <v>100.0</v>
      </c>
      <c r="BB119" s="2">
        <v>100.0</v>
      </c>
      <c r="BC119" s="2">
        <v>100.0</v>
      </c>
      <c r="BD119" s="2">
        <v>100.0</v>
      </c>
      <c r="BE119" s="2">
        <v>100.0</v>
      </c>
      <c r="BF119" s="2">
        <v>100.0</v>
      </c>
      <c r="BG119" s="2">
        <v>100.0</v>
      </c>
      <c r="BH119" s="2">
        <v>100.0</v>
      </c>
      <c r="BI119" s="2">
        <v>100.0</v>
      </c>
      <c r="BJ119" s="2">
        <v>100.0</v>
      </c>
      <c r="BK119" s="2">
        <v>100.0</v>
      </c>
      <c r="BL119" s="2">
        <v>100.0</v>
      </c>
      <c r="BM119" s="2">
        <v>100.0</v>
      </c>
      <c r="BN119" s="2">
        <v>100.0</v>
      </c>
      <c r="BO119" s="2">
        <v>100.0</v>
      </c>
      <c r="BP119" s="2">
        <v>100.0</v>
      </c>
      <c r="BQ119" s="2">
        <v>100.0</v>
      </c>
      <c r="BS119" s="3" t="str">
        <f>VLOOKUP(B119, Metadata!A:B, 2, FALSE)</f>
        <v>Europe &amp; Central Asia</v>
      </c>
    </row>
    <row r="120" hidden="1">
      <c r="A120" s="2" t="s">
        <v>416</v>
      </c>
      <c r="B120" s="2" t="s">
        <v>261</v>
      </c>
      <c r="C120" s="2" t="s">
        <v>4</v>
      </c>
      <c r="D120" s="2" t="s">
        <v>5</v>
      </c>
      <c r="AI120" s="2">
        <v>100.0</v>
      </c>
      <c r="AJ120" s="2">
        <v>100.0</v>
      </c>
      <c r="AK120" s="2">
        <v>100.0</v>
      </c>
      <c r="AL120" s="2">
        <v>100.0</v>
      </c>
      <c r="AM120" s="2">
        <v>100.0</v>
      </c>
      <c r="AN120" s="2">
        <v>100.0</v>
      </c>
      <c r="AO120" s="2">
        <v>100.0</v>
      </c>
      <c r="AP120" s="2">
        <v>100.0</v>
      </c>
      <c r="AQ120" s="2">
        <v>100.0</v>
      </c>
      <c r="AR120" s="2">
        <v>100.0</v>
      </c>
      <c r="AS120" s="2">
        <v>100.0</v>
      </c>
      <c r="AT120" s="2">
        <v>100.0</v>
      </c>
      <c r="AU120" s="2">
        <v>100.0</v>
      </c>
      <c r="AV120" s="2">
        <v>100.0</v>
      </c>
      <c r="AW120" s="2">
        <v>100.0</v>
      </c>
      <c r="AX120" s="2">
        <v>100.0</v>
      </c>
      <c r="AY120" s="2">
        <v>100.0</v>
      </c>
      <c r="AZ120" s="2">
        <v>100.0</v>
      </c>
      <c r="BA120" s="2">
        <v>100.0</v>
      </c>
      <c r="BB120" s="2">
        <v>100.0</v>
      </c>
      <c r="BC120" s="2">
        <v>100.0</v>
      </c>
      <c r="BD120" s="2">
        <v>100.0</v>
      </c>
      <c r="BE120" s="2">
        <v>100.0</v>
      </c>
      <c r="BF120" s="2">
        <v>100.0</v>
      </c>
      <c r="BG120" s="2">
        <v>100.0</v>
      </c>
      <c r="BH120" s="2">
        <v>100.0</v>
      </c>
      <c r="BI120" s="2">
        <v>100.0</v>
      </c>
      <c r="BJ120" s="2">
        <v>100.0</v>
      </c>
      <c r="BK120" s="2">
        <v>100.0</v>
      </c>
      <c r="BL120" s="2">
        <v>100.0</v>
      </c>
      <c r="BM120" s="2">
        <v>100.0</v>
      </c>
      <c r="BN120" s="2">
        <v>100.0</v>
      </c>
      <c r="BO120" s="2">
        <v>100.0</v>
      </c>
      <c r="BP120" s="2">
        <v>100.0</v>
      </c>
      <c r="BQ120" s="2">
        <v>100.0</v>
      </c>
      <c r="BS120" s="3" t="str">
        <f>VLOOKUP(B120, Metadata!A:B, 2, FALSE)</f>
        <v>Middle East &amp; North Africa</v>
      </c>
    </row>
    <row r="121" hidden="1">
      <c r="A121" s="2" t="s">
        <v>417</v>
      </c>
      <c r="B121" s="2" t="s">
        <v>262</v>
      </c>
      <c r="C121" s="2" t="s">
        <v>4</v>
      </c>
      <c r="D121" s="2" t="s">
        <v>5</v>
      </c>
      <c r="AI121" s="2">
        <v>100.0</v>
      </c>
      <c r="AJ121" s="2">
        <v>100.0</v>
      </c>
      <c r="AK121" s="2">
        <v>100.0</v>
      </c>
      <c r="AL121" s="2">
        <v>100.0</v>
      </c>
      <c r="AM121" s="2">
        <v>100.0</v>
      </c>
      <c r="AN121" s="2">
        <v>100.0</v>
      </c>
      <c r="AO121" s="2">
        <v>100.0</v>
      </c>
      <c r="AP121" s="2">
        <v>100.0</v>
      </c>
      <c r="AQ121" s="2">
        <v>100.0</v>
      </c>
      <c r="AR121" s="2">
        <v>100.0</v>
      </c>
      <c r="AS121" s="2">
        <v>100.0</v>
      </c>
      <c r="AT121" s="2">
        <v>100.0</v>
      </c>
      <c r="AU121" s="2">
        <v>100.0</v>
      </c>
      <c r="AV121" s="2">
        <v>100.0</v>
      </c>
      <c r="AW121" s="2">
        <v>100.0</v>
      </c>
      <c r="AX121" s="2">
        <v>100.0</v>
      </c>
      <c r="AY121" s="2">
        <v>100.0</v>
      </c>
      <c r="AZ121" s="2">
        <v>100.0</v>
      </c>
      <c r="BA121" s="2">
        <v>100.0</v>
      </c>
      <c r="BB121" s="2">
        <v>100.0</v>
      </c>
      <c r="BC121" s="2">
        <v>100.0</v>
      </c>
      <c r="BD121" s="2">
        <v>100.0</v>
      </c>
      <c r="BE121" s="2">
        <v>100.0</v>
      </c>
      <c r="BF121" s="2">
        <v>100.0</v>
      </c>
      <c r="BG121" s="2">
        <v>100.0</v>
      </c>
      <c r="BH121" s="2">
        <v>100.0</v>
      </c>
      <c r="BI121" s="2">
        <v>100.0</v>
      </c>
      <c r="BJ121" s="2">
        <v>100.0</v>
      </c>
      <c r="BK121" s="2">
        <v>100.0</v>
      </c>
      <c r="BL121" s="2">
        <v>100.0</v>
      </c>
      <c r="BM121" s="2">
        <v>100.0</v>
      </c>
      <c r="BN121" s="2">
        <v>100.0</v>
      </c>
      <c r="BO121" s="2">
        <v>100.0</v>
      </c>
      <c r="BP121" s="2">
        <v>100.0</v>
      </c>
      <c r="BQ121" s="2">
        <v>100.0</v>
      </c>
      <c r="BS121" s="3" t="str">
        <f>VLOOKUP(B121, Metadata!A:B, 2, FALSE)</f>
        <v>Europe &amp; Central Asia</v>
      </c>
    </row>
    <row r="122" hidden="1">
      <c r="A122" s="2" t="s">
        <v>418</v>
      </c>
      <c r="B122" s="2" t="s">
        <v>263</v>
      </c>
      <c r="C122" s="2" t="s">
        <v>4</v>
      </c>
      <c r="D122" s="2" t="s">
        <v>5</v>
      </c>
      <c r="AI122" s="2">
        <v>70.334586</v>
      </c>
      <c r="AJ122" s="2">
        <v>77.2288665771484</v>
      </c>
      <c r="AK122" s="2">
        <v>78.0329208374023</v>
      </c>
      <c r="AL122" s="2">
        <v>78.836296081543</v>
      </c>
      <c r="AM122" s="2">
        <v>79.638313293457</v>
      </c>
      <c r="AN122" s="2">
        <v>80.4382934570313</v>
      </c>
      <c r="AO122" s="2">
        <v>85.706045</v>
      </c>
      <c r="AP122" s="2">
        <v>82.0294036865234</v>
      </c>
      <c r="AQ122" s="2">
        <v>82.8191757202148</v>
      </c>
      <c r="AR122" s="2">
        <v>84.554112</v>
      </c>
      <c r="AS122" s="2">
        <v>84.4</v>
      </c>
      <c r="AT122" s="2">
        <v>87.7</v>
      </c>
      <c r="AU122" s="2">
        <v>86.7</v>
      </c>
      <c r="AV122" s="2">
        <v>86.5</v>
      </c>
      <c r="AW122" s="2">
        <v>87.2</v>
      </c>
      <c r="AX122" s="2">
        <v>88.0</v>
      </c>
      <c r="AY122" s="2">
        <v>88.7</v>
      </c>
      <c r="AZ122" s="2">
        <v>89.4</v>
      </c>
      <c r="BA122" s="2">
        <v>92.0</v>
      </c>
      <c r="BB122" s="2">
        <v>91.0</v>
      </c>
      <c r="BC122" s="2">
        <v>92.2</v>
      </c>
      <c r="BD122" s="2">
        <v>91.1</v>
      </c>
      <c r="BE122" s="2">
        <v>93.1</v>
      </c>
      <c r="BF122" s="2">
        <v>93.9</v>
      </c>
      <c r="BG122" s="2">
        <v>93.3</v>
      </c>
      <c r="BH122" s="2">
        <v>94.9</v>
      </c>
      <c r="BI122" s="2">
        <v>96.6</v>
      </c>
      <c r="BJ122" s="2">
        <v>97.4</v>
      </c>
      <c r="BK122" s="2">
        <v>98.2</v>
      </c>
      <c r="BL122" s="2">
        <v>98.9</v>
      </c>
      <c r="BM122" s="2">
        <v>99.7</v>
      </c>
      <c r="BN122" s="2">
        <v>100.0</v>
      </c>
      <c r="BO122" s="2">
        <v>100.0</v>
      </c>
      <c r="BP122" s="2">
        <v>97.7</v>
      </c>
      <c r="BQ122" s="2">
        <v>97.7</v>
      </c>
      <c r="BS122" s="3" t="str">
        <f>VLOOKUP(B122, Metadata!A:B, 2, FALSE)</f>
        <v>Latin America &amp; Caribbean</v>
      </c>
    </row>
    <row r="123" hidden="1">
      <c r="A123" s="2" t="s">
        <v>419</v>
      </c>
      <c r="B123" s="2" t="s">
        <v>264</v>
      </c>
      <c r="C123" s="2" t="s">
        <v>4</v>
      </c>
      <c r="D123" s="2" t="s">
        <v>5</v>
      </c>
      <c r="AI123" s="2">
        <v>96.8</v>
      </c>
      <c r="AJ123" s="2">
        <v>97.8546829223633</v>
      </c>
      <c r="AK123" s="2">
        <v>97.9748611450195</v>
      </c>
      <c r="AL123" s="2">
        <v>98.0943603515625</v>
      </c>
      <c r="AM123" s="2">
        <v>98.2125015258789</v>
      </c>
      <c r="AN123" s="2">
        <v>98.3285980224609</v>
      </c>
      <c r="AO123" s="2">
        <v>98.4419784545898</v>
      </c>
      <c r="AP123" s="2">
        <v>98.9</v>
      </c>
      <c r="AQ123" s="2">
        <v>98.6578521728516</v>
      </c>
      <c r="AR123" s="2">
        <v>98.7589111328125</v>
      </c>
      <c r="AS123" s="2">
        <v>99.0</v>
      </c>
      <c r="AT123" s="2">
        <v>99.0</v>
      </c>
      <c r="AU123" s="2">
        <v>99.5</v>
      </c>
      <c r="AV123" s="2">
        <v>99.0</v>
      </c>
      <c r="AW123" s="2">
        <v>99.2</v>
      </c>
      <c r="AX123" s="2">
        <v>99.0</v>
      </c>
      <c r="AY123" s="2">
        <v>100.0</v>
      </c>
      <c r="AZ123" s="2">
        <v>98.8</v>
      </c>
      <c r="BA123" s="2">
        <v>100.0</v>
      </c>
      <c r="BB123" s="2">
        <v>99.4</v>
      </c>
      <c r="BC123" s="2">
        <v>100.0</v>
      </c>
      <c r="BD123" s="2">
        <v>99.6</v>
      </c>
      <c r="BE123" s="2">
        <v>99.5</v>
      </c>
      <c r="BF123" s="2">
        <v>99.7</v>
      </c>
      <c r="BG123" s="2">
        <v>99.8</v>
      </c>
      <c r="BH123" s="2">
        <v>99.9</v>
      </c>
      <c r="BI123" s="2">
        <v>100.0</v>
      </c>
      <c r="BJ123" s="2">
        <v>100.0</v>
      </c>
      <c r="BK123" s="2">
        <v>99.9</v>
      </c>
      <c r="BL123" s="2">
        <v>99.9</v>
      </c>
      <c r="BM123" s="2">
        <v>99.9</v>
      </c>
      <c r="BN123" s="2">
        <v>99.9</v>
      </c>
      <c r="BO123" s="2">
        <v>100.0</v>
      </c>
      <c r="BP123" s="2">
        <v>100.0</v>
      </c>
      <c r="BQ123" s="2">
        <v>100.0</v>
      </c>
      <c r="BS123" s="3" t="str">
        <f>VLOOKUP(B123, Metadata!A:B, 2, FALSE)</f>
        <v>Middle East &amp; North Africa</v>
      </c>
    </row>
    <row r="124" hidden="1">
      <c r="A124" s="2" t="s">
        <v>420</v>
      </c>
      <c r="B124" s="2" t="s">
        <v>266</v>
      </c>
      <c r="C124" s="2" t="s">
        <v>4</v>
      </c>
      <c r="D124" s="2" t="s">
        <v>5</v>
      </c>
      <c r="AI124" s="2">
        <v>100.0</v>
      </c>
      <c r="AJ124" s="2">
        <v>100.0</v>
      </c>
      <c r="AK124" s="2">
        <v>100.0</v>
      </c>
      <c r="AL124" s="2">
        <v>100.0</v>
      </c>
      <c r="AM124" s="2">
        <v>100.0</v>
      </c>
      <c r="AN124" s="2">
        <v>100.0</v>
      </c>
      <c r="AO124" s="2">
        <v>100.0</v>
      </c>
      <c r="AP124" s="2">
        <v>100.0</v>
      </c>
      <c r="AQ124" s="2">
        <v>100.0</v>
      </c>
      <c r="AR124" s="2">
        <v>100.0</v>
      </c>
      <c r="AS124" s="2">
        <v>100.0</v>
      </c>
      <c r="AT124" s="2">
        <v>100.0</v>
      </c>
      <c r="AU124" s="2">
        <v>100.0</v>
      </c>
      <c r="AV124" s="2">
        <v>100.0</v>
      </c>
      <c r="AW124" s="2">
        <v>100.0</v>
      </c>
      <c r="AX124" s="2">
        <v>100.0</v>
      </c>
      <c r="AY124" s="2">
        <v>100.0</v>
      </c>
      <c r="AZ124" s="2">
        <v>100.0</v>
      </c>
      <c r="BA124" s="2">
        <v>100.0</v>
      </c>
      <c r="BB124" s="2">
        <v>100.0</v>
      </c>
      <c r="BC124" s="2">
        <v>100.0</v>
      </c>
      <c r="BD124" s="2">
        <v>100.0</v>
      </c>
      <c r="BE124" s="2">
        <v>100.0</v>
      </c>
      <c r="BF124" s="2">
        <v>100.0</v>
      </c>
      <c r="BG124" s="2">
        <v>100.0</v>
      </c>
      <c r="BH124" s="2">
        <v>100.0</v>
      </c>
      <c r="BI124" s="2">
        <v>100.0</v>
      </c>
      <c r="BJ124" s="2">
        <v>100.0</v>
      </c>
      <c r="BK124" s="2">
        <v>100.0</v>
      </c>
      <c r="BL124" s="2">
        <v>100.0</v>
      </c>
      <c r="BM124" s="2">
        <v>100.0</v>
      </c>
      <c r="BN124" s="2">
        <v>100.0</v>
      </c>
      <c r="BO124" s="2">
        <v>100.0</v>
      </c>
      <c r="BP124" s="2">
        <v>100.0</v>
      </c>
      <c r="BQ124" s="2">
        <v>100.0</v>
      </c>
      <c r="BS124" s="3" t="str">
        <f>VLOOKUP(B124, Metadata!A:B, 2, FALSE)</f>
        <v>East Asia &amp; Pacific</v>
      </c>
    </row>
    <row r="125" hidden="1">
      <c r="A125" s="2" t="s">
        <v>421</v>
      </c>
      <c r="B125" s="2" t="s">
        <v>267</v>
      </c>
      <c r="C125" s="2" t="s">
        <v>4</v>
      </c>
      <c r="D125" s="2" t="s">
        <v>5</v>
      </c>
      <c r="AN125" s="2">
        <v>99.9</v>
      </c>
      <c r="AO125" s="2">
        <v>99.1921157836914</v>
      </c>
      <c r="AP125" s="2">
        <v>99.2694702148438</v>
      </c>
      <c r="AQ125" s="2">
        <v>99.3427505493164</v>
      </c>
      <c r="AR125" s="2">
        <v>97.0</v>
      </c>
      <c r="AS125" s="2">
        <v>99.6</v>
      </c>
      <c r="AT125" s="2">
        <v>99.7</v>
      </c>
      <c r="AU125" s="2">
        <v>99.8</v>
      </c>
      <c r="AV125" s="2">
        <v>99.9</v>
      </c>
      <c r="AW125" s="2">
        <v>100.0</v>
      </c>
      <c r="AX125" s="2">
        <v>100.0</v>
      </c>
      <c r="AY125" s="2">
        <v>99.8</v>
      </c>
      <c r="AZ125" s="2">
        <v>100.0</v>
      </c>
      <c r="BA125" s="2">
        <v>100.0</v>
      </c>
      <c r="BB125" s="2">
        <v>100.0</v>
      </c>
      <c r="BC125" s="2">
        <v>100.0</v>
      </c>
      <c r="BD125" s="2">
        <v>99.8</v>
      </c>
      <c r="BE125" s="2">
        <v>100.0</v>
      </c>
      <c r="BF125" s="2">
        <v>100.0</v>
      </c>
      <c r="BG125" s="2">
        <v>100.0</v>
      </c>
      <c r="BH125" s="2">
        <v>100.0</v>
      </c>
      <c r="BI125" s="2">
        <v>100.0</v>
      </c>
      <c r="BJ125" s="2">
        <v>100.0</v>
      </c>
      <c r="BK125" s="2">
        <v>100.0</v>
      </c>
      <c r="BL125" s="2">
        <v>100.0</v>
      </c>
      <c r="BM125" s="2">
        <v>100.0</v>
      </c>
      <c r="BN125" s="2">
        <v>100.0</v>
      </c>
      <c r="BO125" s="2">
        <v>100.0</v>
      </c>
      <c r="BP125" s="2">
        <v>100.0</v>
      </c>
      <c r="BQ125" s="2">
        <v>100.0</v>
      </c>
      <c r="BS125" s="3" t="str">
        <f>VLOOKUP(B125, Metadata!A:B, 2, FALSE)</f>
        <v>Europe &amp; Central Asia</v>
      </c>
    </row>
    <row r="126">
      <c r="A126" s="2" t="s">
        <v>34</v>
      </c>
      <c r="B126" s="2" t="s">
        <v>35</v>
      </c>
      <c r="C126" s="2" t="s">
        <v>4</v>
      </c>
      <c r="D126" s="2" t="s">
        <v>5</v>
      </c>
      <c r="AL126" s="2">
        <v>10.9</v>
      </c>
      <c r="AM126" s="2">
        <v>3.47343683242798</v>
      </c>
      <c r="AN126" s="2">
        <v>5.42734336853027</v>
      </c>
      <c r="AO126" s="2">
        <v>7.37853050231934</v>
      </c>
      <c r="AP126" s="2">
        <v>9.32631778717041</v>
      </c>
      <c r="AQ126" s="2">
        <v>14.5</v>
      </c>
      <c r="AR126" s="2">
        <v>13.2088918685913</v>
      </c>
      <c r="AS126" s="2">
        <v>15.2</v>
      </c>
      <c r="AT126" s="2">
        <v>17.0</v>
      </c>
      <c r="AU126" s="2">
        <v>18.9</v>
      </c>
      <c r="AV126" s="2">
        <v>16.0</v>
      </c>
      <c r="AW126" s="2">
        <v>22.6</v>
      </c>
      <c r="AX126" s="2">
        <v>24.5</v>
      </c>
      <c r="AY126" s="2">
        <v>26.4</v>
      </c>
      <c r="AZ126" s="2">
        <v>28.3</v>
      </c>
      <c r="BA126" s="2">
        <v>30.3</v>
      </c>
      <c r="BB126" s="2">
        <v>23.0</v>
      </c>
      <c r="BC126" s="2">
        <v>19.2</v>
      </c>
      <c r="BD126" s="2">
        <v>36.2</v>
      </c>
      <c r="BE126" s="2">
        <v>38.1</v>
      </c>
      <c r="BF126" s="2">
        <v>40.1</v>
      </c>
      <c r="BG126" s="2">
        <v>36.0</v>
      </c>
      <c r="BH126" s="2">
        <v>41.6</v>
      </c>
      <c r="BI126" s="2">
        <v>53.1</v>
      </c>
      <c r="BJ126" s="2">
        <v>55.8</v>
      </c>
      <c r="BK126" s="2">
        <v>61.2</v>
      </c>
      <c r="BL126" s="2">
        <v>69.7</v>
      </c>
      <c r="BM126" s="2">
        <v>71.5</v>
      </c>
      <c r="BN126" s="2">
        <v>76.5</v>
      </c>
      <c r="BO126" s="2">
        <v>76.0</v>
      </c>
      <c r="BP126" s="2">
        <v>76.2</v>
      </c>
      <c r="BQ126" s="2">
        <v>77.0</v>
      </c>
      <c r="BS126" s="3" t="str">
        <f>VLOOKUP(B126, Metadata!A:B, 2, FALSE)</f>
        <v>Sub-Saharan Africa</v>
      </c>
      <c r="BT126" s="3">
        <f>VLOOKUP(B122,Population!A:B,2,FALSE)*(1-BP122/100)</f>
        <v>65315.078</v>
      </c>
    </row>
    <row r="127" hidden="1">
      <c r="A127" s="2" t="s">
        <v>422</v>
      </c>
      <c r="B127" s="2" t="s">
        <v>268</v>
      </c>
      <c r="C127" s="2" t="s">
        <v>4</v>
      </c>
      <c r="D127" s="2" t="s">
        <v>5</v>
      </c>
      <c r="AP127" s="2">
        <v>99.8</v>
      </c>
      <c r="AQ127" s="2">
        <v>99.553825378418</v>
      </c>
      <c r="AR127" s="2">
        <v>99.5655822753906</v>
      </c>
      <c r="AS127" s="2">
        <v>99.6</v>
      </c>
      <c r="AT127" s="2">
        <v>99.5</v>
      </c>
      <c r="AU127" s="2">
        <v>100.0</v>
      </c>
      <c r="AV127" s="2">
        <v>99.4</v>
      </c>
      <c r="AW127" s="2">
        <v>99.3</v>
      </c>
      <c r="AX127" s="2">
        <v>99.4</v>
      </c>
      <c r="AY127" s="2">
        <v>98.9</v>
      </c>
      <c r="AZ127" s="2">
        <v>99.5</v>
      </c>
      <c r="BA127" s="2">
        <v>99.5</v>
      </c>
      <c r="BB127" s="2">
        <v>99.5</v>
      </c>
      <c r="BC127" s="2">
        <v>99.0</v>
      </c>
      <c r="BD127" s="2">
        <v>98.3</v>
      </c>
      <c r="BE127" s="2">
        <v>99.8</v>
      </c>
      <c r="BF127" s="2">
        <v>98.9</v>
      </c>
      <c r="BG127" s="2">
        <v>99.8</v>
      </c>
      <c r="BH127" s="2">
        <v>98.7</v>
      </c>
      <c r="BI127" s="2">
        <v>99.7</v>
      </c>
      <c r="BJ127" s="2">
        <v>100.0</v>
      </c>
      <c r="BK127" s="2">
        <v>100.0</v>
      </c>
      <c r="BL127" s="2">
        <v>99.9</v>
      </c>
      <c r="BM127" s="2">
        <v>99.9</v>
      </c>
      <c r="BN127" s="2">
        <v>99.7</v>
      </c>
      <c r="BO127" s="2">
        <v>99.7</v>
      </c>
      <c r="BP127" s="2">
        <v>100.0</v>
      </c>
      <c r="BQ127" s="2">
        <v>100.0</v>
      </c>
      <c r="BS127" s="3" t="str">
        <f>VLOOKUP(B127, Metadata!A:B, 2, FALSE)</f>
        <v>Europe &amp; Central Asia</v>
      </c>
    </row>
    <row r="128" hidden="1">
      <c r="A128" s="2" t="s">
        <v>423</v>
      </c>
      <c r="B128" s="2" t="s">
        <v>269</v>
      </c>
      <c r="C128" s="2" t="s">
        <v>4</v>
      </c>
      <c r="D128" s="2" t="s">
        <v>5</v>
      </c>
      <c r="AQ128" s="2">
        <v>18.67</v>
      </c>
      <c r="AR128" s="2">
        <v>8.82003688812256</v>
      </c>
      <c r="AS128" s="2">
        <v>16.6</v>
      </c>
      <c r="AT128" s="2">
        <v>9.5</v>
      </c>
      <c r="AU128" s="2">
        <v>13.1</v>
      </c>
      <c r="AV128" s="2">
        <v>19.3</v>
      </c>
      <c r="AW128" s="2">
        <v>14.2</v>
      </c>
      <c r="AX128" s="2">
        <v>20.5</v>
      </c>
      <c r="AY128" s="2">
        <v>27.5</v>
      </c>
      <c r="AZ128" s="2">
        <v>20.2</v>
      </c>
      <c r="BA128" s="2">
        <v>26.4</v>
      </c>
      <c r="BB128" s="2">
        <v>25.6</v>
      </c>
      <c r="BC128" s="2">
        <v>31.1</v>
      </c>
      <c r="BD128" s="2">
        <v>37.4</v>
      </c>
      <c r="BE128" s="2">
        <v>42.3</v>
      </c>
      <c r="BF128" s="2">
        <v>50.9</v>
      </c>
      <c r="BG128" s="2">
        <v>56.1</v>
      </c>
      <c r="BH128" s="2">
        <v>62.7</v>
      </c>
      <c r="BI128" s="2">
        <v>68.8</v>
      </c>
      <c r="BJ128" s="2">
        <v>89.1</v>
      </c>
      <c r="BK128" s="2">
        <v>80.7</v>
      </c>
      <c r="BL128" s="2">
        <v>84.0</v>
      </c>
      <c r="BM128" s="2">
        <v>86.4</v>
      </c>
      <c r="BN128" s="2">
        <v>82.5</v>
      </c>
      <c r="BO128" s="2">
        <v>92.3</v>
      </c>
      <c r="BP128" s="2">
        <v>95.0</v>
      </c>
      <c r="BQ128" s="2">
        <v>99.2</v>
      </c>
      <c r="BS128" s="3" t="str">
        <f>VLOOKUP(B128, Metadata!A:B, 2, FALSE)</f>
        <v>East Asia &amp; Pacific</v>
      </c>
    </row>
    <row r="129" hidden="1">
      <c r="A129" s="2" t="s">
        <v>424</v>
      </c>
      <c r="B129" s="2" t="s">
        <v>270</v>
      </c>
      <c r="C129" s="2" t="s">
        <v>4</v>
      </c>
      <c r="D129" s="2" t="s">
        <v>5</v>
      </c>
      <c r="AS129" s="2">
        <v>55.6</v>
      </c>
      <c r="AT129" s="2">
        <v>57.3</v>
      </c>
      <c r="AU129" s="2">
        <v>59.0</v>
      </c>
      <c r="AV129" s="2">
        <v>60.7</v>
      </c>
      <c r="AW129" s="2">
        <v>62.4</v>
      </c>
      <c r="AX129" s="2">
        <v>69.7</v>
      </c>
      <c r="AY129" s="2">
        <v>68.8</v>
      </c>
      <c r="AZ129" s="2">
        <v>67.7</v>
      </c>
      <c r="BA129" s="2">
        <v>69.4</v>
      </c>
      <c r="BB129" s="2">
        <v>64.2</v>
      </c>
      <c r="BC129" s="2">
        <v>63.2</v>
      </c>
      <c r="BD129" s="2">
        <v>74.9</v>
      </c>
      <c r="BE129" s="2">
        <v>76.7</v>
      </c>
      <c r="BF129" s="2">
        <v>78.8</v>
      </c>
      <c r="BG129" s="2">
        <v>83.4</v>
      </c>
      <c r="BH129" s="2">
        <v>90.6</v>
      </c>
      <c r="BI129" s="2">
        <v>92.6</v>
      </c>
      <c r="BJ129" s="2">
        <v>85.7</v>
      </c>
      <c r="BK129" s="2">
        <v>87.5</v>
      </c>
      <c r="BL129" s="2">
        <v>89.3</v>
      </c>
      <c r="BM129" s="2">
        <v>91.0</v>
      </c>
      <c r="BN129" s="2">
        <v>92.8</v>
      </c>
      <c r="BO129" s="2">
        <v>94.4</v>
      </c>
      <c r="BP129" s="2">
        <v>95.9</v>
      </c>
      <c r="BQ129" s="2">
        <v>97.7</v>
      </c>
      <c r="BS129" s="3" t="str">
        <f>VLOOKUP(B129, Metadata!A:B, 2, FALSE)</f>
        <v>East Asia &amp; Pacific</v>
      </c>
    </row>
    <row r="130" hidden="1">
      <c r="A130" s="2" t="s">
        <v>425</v>
      </c>
      <c r="B130" s="2" t="s">
        <v>271</v>
      </c>
      <c r="C130" s="2" t="s">
        <v>4</v>
      </c>
      <c r="D130" s="2" t="s">
        <v>5</v>
      </c>
      <c r="AI130" s="2">
        <v>91.3068161010742</v>
      </c>
      <c r="AJ130" s="2">
        <v>91.6711730957031</v>
      </c>
      <c r="AK130" s="2">
        <v>92.0354309082031</v>
      </c>
      <c r="AL130" s="2">
        <v>92.3990020751953</v>
      </c>
      <c r="AM130" s="2">
        <v>92.7612075805664</v>
      </c>
      <c r="AN130" s="2">
        <v>93.1213836669922</v>
      </c>
      <c r="AO130" s="2">
        <v>93.4788360595703</v>
      </c>
      <c r="AP130" s="2">
        <v>93.8328857421875</v>
      </c>
      <c r="AQ130" s="2">
        <v>94.182861328125</v>
      </c>
      <c r="AR130" s="2">
        <v>94.5279922485352</v>
      </c>
      <c r="AS130" s="2">
        <v>95.4</v>
      </c>
      <c r="AT130" s="2">
        <v>93.5</v>
      </c>
      <c r="AU130" s="2">
        <v>95.8</v>
      </c>
      <c r="AV130" s="2">
        <v>96.0</v>
      </c>
      <c r="AW130" s="2">
        <v>96.3</v>
      </c>
      <c r="AX130" s="2">
        <v>96.5</v>
      </c>
      <c r="AY130" s="2">
        <v>96.7</v>
      </c>
      <c r="AZ130" s="2">
        <v>97.0</v>
      </c>
      <c r="BA130" s="2">
        <v>97.3</v>
      </c>
      <c r="BB130" s="2">
        <v>97.6</v>
      </c>
      <c r="BC130" s="2">
        <v>99.8</v>
      </c>
      <c r="BD130" s="2">
        <v>100.0</v>
      </c>
      <c r="BE130" s="2">
        <v>100.0</v>
      </c>
      <c r="BF130" s="2">
        <v>100.0</v>
      </c>
      <c r="BG130" s="2">
        <v>100.0</v>
      </c>
      <c r="BH130" s="2">
        <v>100.0</v>
      </c>
      <c r="BI130" s="2">
        <v>100.0</v>
      </c>
      <c r="BJ130" s="2">
        <v>100.0</v>
      </c>
      <c r="BK130" s="2">
        <v>100.0</v>
      </c>
      <c r="BL130" s="2">
        <v>100.0</v>
      </c>
      <c r="BM130" s="2">
        <v>100.0</v>
      </c>
      <c r="BN130" s="2">
        <v>100.0</v>
      </c>
      <c r="BO130" s="2">
        <v>100.0</v>
      </c>
      <c r="BP130" s="2">
        <v>100.0</v>
      </c>
      <c r="BQ130" s="2">
        <v>100.0</v>
      </c>
      <c r="BS130" s="3" t="str">
        <f>VLOOKUP(B130, Metadata!A:B, 2, FALSE)</f>
        <v>Latin America &amp; Caribbean</v>
      </c>
    </row>
    <row r="131" hidden="1">
      <c r="A131" s="2" t="s">
        <v>426</v>
      </c>
      <c r="B131" s="2" t="s">
        <v>272</v>
      </c>
      <c r="C131" s="2" t="s">
        <v>4</v>
      </c>
      <c r="D131" s="2" t="s">
        <v>5</v>
      </c>
      <c r="AI131" s="2">
        <v>99.8828430175781</v>
      </c>
      <c r="AJ131" s="2">
        <v>99.9126739501953</v>
      </c>
      <c r="AK131" s="2">
        <v>99.9422149658203</v>
      </c>
      <c r="AL131" s="2">
        <v>99.9694366455078</v>
      </c>
      <c r="AM131" s="2">
        <v>99.9891204833984</v>
      </c>
      <c r="AN131" s="2">
        <v>100.0</v>
      </c>
      <c r="AO131" s="2">
        <v>100.0</v>
      </c>
      <c r="AP131" s="2">
        <v>100.0</v>
      </c>
      <c r="AQ131" s="2">
        <v>100.0</v>
      </c>
      <c r="AR131" s="2">
        <v>100.0</v>
      </c>
      <c r="AS131" s="2">
        <v>100.0</v>
      </c>
      <c r="AT131" s="2">
        <v>100.0</v>
      </c>
      <c r="AU131" s="2">
        <v>100.0</v>
      </c>
      <c r="AV131" s="2">
        <v>100.0</v>
      </c>
      <c r="AW131" s="2">
        <v>100.0</v>
      </c>
      <c r="AX131" s="2">
        <v>100.0</v>
      </c>
      <c r="AY131" s="2">
        <v>100.0</v>
      </c>
      <c r="AZ131" s="2">
        <v>100.0</v>
      </c>
      <c r="BA131" s="2">
        <v>100.0</v>
      </c>
      <c r="BB131" s="2">
        <v>100.0</v>
      </c>
      <c r="BC131" s="2">
        <v>100.0</v>
      </c>
      <c r="BD131" s="2">
        <v>100.0</v>
      </c>
      <c r="BE131" s="2">
        <v>100.0</v>
      </c>
      <c r="BF131" s="2">
        <v>100.0</v>
      </c>
      <c r="BG131" s="2">
        <v>100.0</v>
      </c>
      <c r="BH131" s="2">
        <v>100.0</v>
      </c>
      <c r="BI131" s="2">
        <v>100.0</v>
      </c>
      <c r="BJ131" s="2">
        <v>100.0</v>
      </c>
      <c r="BK131" s="2">
        <v>100.0</v>
      </c>
      <c r="BL131" s="2">
        <v>100.0</v>
      </c>
      <c r="BM131" s="2">
        <v>100.0</v>
      </c>
      <c r="BN131" s="2">
        <v>100.0</v>
      </c>
      <c r="BO131" s="2">
        <v>100.0</v>
      </c>
      <c r="BP131" s="2">
        <v>100.0</v>
      </c>
      <c r="BQ131" s="2">
        <v>100.0</v>
      </c>
      <c r="BS131" s="3" t="str">
        <f>VLOOKUP(B131, Metadata!A:B, 2, FALSE)</f>
        <v>East Asia &amp; Pacific</v>
      </c>
    </row>
    <row r="132" hidden="1">
      <c r="A132" s="2" t="s">
        <v>427</v>
      </c>
      <c r="B132" s="2" t="s">
        <v>273</v>
      </c>
      <c r="C132" s="2" t="s">
        <v>4</v>
      </c>
      <c r="D132" s="2" t="s">
        <v>5</v>
      </c>
      <c r="AI132" s="2">
        <v>100.0</v>
      </c>
      <c r="AJ132" s="2">
        <v>100.0</v>
      </c>
      <c r="AK132" s="2">
        <v>100.0</v>
      </c>
      <c r="AL132" s="2">
        <v>100.0</v>
      </c>
      <c r="AM132" s="2">
        <v>100.0</v>
      </c>
      <c r="AN132" s="2">
        <v>100.0</v>
      </c>
      <c r="AO132" s="2">
        <v>100.0</v>
      </c>
      <c r="AP132" s="2">
        <v>100.0</v>
      </c>
      <c r="AQ132" s="2">
        <v>100.0</v>
      </c>
      <c r="AR132" s="2">
        <v>100.0</v>
      </c>
      <c r="AS132" s="2">
        <v>100.0</v>
      </c>
      <c r="AT132" s="2">
        <v>100.0</v>
      </c>
      <c r="AU132" s="2">
        <v>100.0</v>
      </c>
      <c r="AV132" s="2">
        <v>100.0</v>
      </c>
      <c r="AW132" s="2">
        <v>100.0</v>
      </c>
      <c r="AX132" s="2">
        <v>100.0</v>
      </c>
      <c r="AY132" s="2">
        <v>100.0</v>
      </c>
      <c r="AZ132" s="2">
        <v>100.0</v>
      </c>
      <c r="BA132" s="2">
        <v>100.0</v>
      </c>
      <c r="BB132" s="2">
        <v>100.0</v>
      </c>
      <c r="BC132" s="2">
        <v>100.0</v>
      </c>
      <c r="BD132" s="2">
        <v>100.0</v>
      </c>
      <c r="BE132" s="2">
        <v>100.0</v>
      </c>
      <c r="BF132" s="2">
        <v>100.0</v>
      </c>
      <c r="BG132" s="2">
        <v>100.0</v>
      </c>
      <c r="BH132" s="2">
        <v>100.0</v>
      </c>
      <c r="BI132" s="2">
        <v>100.0</v>
      </c>
      <c r="BJ132" s="2">
        <v>100.0</v>
      </c>
      <c r="BK132" s="2">
        <v>100.0</v>
      </c>
      <c r="BL132" s="2">
        <v>100.0</v>
      </c>
      <c r="BM132" s="2">
        <v>100.0</v>
      </c>
      <c r="BN132" s="2">
        <v>100.0</v>
      </c>
      <c r="BO132" s="2">
        <v>100.0</v>
      </c>
      <c r="BP132" s="2">
        <v>100.0</v>
      </c>
      <c r="BQ132" s="2">
        <v>100.0</v>
      </c>
      <c r="BS132" s="3" t="str">
        <f>VLOOKUP(B132, Metadata!A:B, 2, FALSE)</f>
        <v>Middle East &amp; North Africa</v>
      </c>
    </row>
    <row r="133" hidden="1">
      <c r="A133" s="2" t="s">
        <v>428</v>
      </c>
      <c r="B133" s="2" t="s">
        <v>274</v>
      </c>
      <c r="C133" s="2" t="s">
        <v>4</v>
      </c>
      <c r="D133" s="2" t="s">
        <v>5</v>
      </c>
      <c r="AK133" s="2">
        <v>88.4212728128563</v>
      </c>
      <c r="AL133" s="2">
        <v>89.0745603316914</v>
      </c>
      <c r="AM133" s="2">
        <v>90.0192376602297</v>
      </c>
      <c r="AN133" s="2">
        <v>88.3066943791008</v>
      </c>
      <c r="AO133" s="2">
        <v>89.3243572665827</v>
      </c>
      <c r="AP133" s="2">
        <v>89.772643094629</v>
      </c>
      <c r="AQ133" s="2">
        <v>90.3881044154998</v>
      </c>
      <c r="AR133" s="2">
        <v>91.0459669650861</v>
      </c>
      <c r="AS133" s="2">
        <v>91.4689795265121</v>
      </c>
      <c r="AT133" s="2">
        <v>92.1051983799186</v>
      </c>
      <c r="AU133" s="2">
        <v>92.4360291313762</v>
      </c>
      <c r="AV133" s="2">
        <v>92.439701604994</v>
      </c>
      <c r="AW133" s="2">
        <v>93.0182149762883</v>
      </c>
      <c r="AX133" s="2">
        <v>93.3363923210281</v>
      </c>
      <c r="AY133" s="2">
        <v>94.0541891151959</v>
      </c>
      <c r="AZ133" s="2">
        <v>94.3168452277057</v>
      </c>
      <c r="BA133" s="2">
        <v>95.0995151940561</v>
      </c>
      <c r="BB133" s="2">
        <v>95.2709919426467</v>
      </c>
      <c r="BC133" s="2">
        <v>95.7501138301396</v>
      </c>
      <c r="BD133" s="2">
        <v>96.0646341819472</v>
      </c>
      <c r="BE133" s="2">
        <v>96.4460399311427</v>
      </c>
      <c r="BF133" s="2">
        <v>96.7727703657333</v>
      </c>
      <c r="BG133" s="2">
        <v>96.9511899456544</v>
      </c>
      <c r="BH133" s="2">
        <v>97.1998388366848</v>
      </c>
      <c r="BI133" s="2">
        <v>97.3895317965432</v>
      </c>
      <c r="BJ133" s="2">
        <v>97.6345956572633</v>
      </c>
      <c r="BK133" s="2">
        <v>97.6720041771543</v>
      </c>
      <c r="BL133" s="2">
        <v>97.9267480324862</v>
      </c>
      <c r="BM133" s="2">
        <v>98.0726539787735</v>
      </c>
      <c r="BN133" s="2">
        <v>98.2080478765579</v>
      </c>
      <c r="BO133" s="2">
        <v>98.5332606972821</v>
      </c>
      <c r="BP133" s="2">
        <v>98.348001499771</v>
      </c>
      <c r="BQ133" s="2">
        <v>97.9933011133193</v>
      </c>
      <c r="BS133" s="3" t="str">
        <f>VLOOKUP(B133, Metadata!A:B, 2, FALSE)</f>
        <v/>
      </c>
    </row>
    <row r="134" hidden="1">
      <c r="A134" s="2" t="s">
        <v>429</v>
      </c>
      <c r="B134" s="2" t="s">
        <v>275</v>
      </c>
      <c r="C134" s="2" t="s">
        <v>4</v>
      </c>
      <c r="D134" s="2" t="s">
        <v>5</v>
      </c>
      <c r="AL134" s="2">
        <v>31.0</v>
      </c>
      <c r="AM134" s="2">
        <v>25.6057929992676</v>
      </c>
      <c r="AN134" s="2">
        <v>25.0</v>
      </c>
      <c r="AO134" s="2">
        <v>31.2476997375488</v>
      </c>
      <c r="AP134" s="2">
        <v>34.0638961791992</v>
      </c>
      <c r="AQ134" s="2">
        <v>36.8760108947754</v>
      </c>
      <c r="AR134" s="2">
        <v>39.6832847595215</v>
      </c>
      <c r="AS134" s="2">
        <v>42.6</v>
      </c>
      <c r="AT134" s="2">
        <v>45.3</v>
      </c>
      <c r="AU134" s="2">
        <v>46.3</v>
      </c>
      <c r="AV134" s="2">
        <v>48.0</v>
      </c>
      <c r="AW134" s="2">
        <v>53.5</v>
      </c>
      <c r="AX134" s="2">
        <v>57.2</v>
      </c>
      <c r="AY134" s="2">
        <v>57.0</v>
      </c>
      <c r="AZ134" s="2">
        <v>55.0</v>
      </c>
      <c r="BA134" s="2">
        <v>66.0</v>
      </c>
      <c r="BB134" s="2">
        <v>67.4</v>
      </c>
      <c r="BC134" s="2">
        <v>70.2</v>
      </c>
      <c r="BD134" s="2">
        <v>70.0</v>
      </c>
      <c r="BE134" s="2">
        <v>76.4</v>
      </c>
      <c r="BF134" s="2">
        <v>79.3</v>
      </c>
      <c r="BG134" s="2">
        <v>82.5</v>
      </c>
      <c r="BH134" s="2">
        <v>89.7</v>
      </c>
      <c r="BI134" s="2">
        <v>89.0</v>
      </c>
      <c r="BJ134" s="2">
        <v>93.6</v>
      </c>
      <c r="BK134" s="2">
        <v>92.9</v>
      </c>
      <c r="BL134" s="2">
        <v>98.4</v>
      </c>
      <c r="BM134" s="2">
        <v>99.3</v>
      </c>
      <c r="BN134" s="2">
        <v>100.0</v>
      </c>
      <c r="BO134" s="2">
        <v>100.0</v>
      </c>
      <c r="BP134" s="2">
        <v>96.5</v>
      </c>
      <c r="BQ134" s="2">
        <v>96.5</v>
      </c>
      <c r="BS134" s="3" t="str">
        <f>VLOOKUP(B134, Metadata!A:B, 2, FALSE)</f>
        <v>East Asia &amp; Pacific</v>
      </c>
    </row>
    <row r="135" hidden="1">
      <c r="A135" s="2" t="s">
        <v>430</v>
      </c>
      <c r="B135" s="2" t="s">
        <v>276</v>
      </c>
      <c r="C135" s="2" t="s">
        <v>4</v>
      </c>
      <c r="D135" s="2" t="s">
        <v>5</v>
      </c>
      <c r="AS135" s="2">
        <v>99.3</v>
      </c>
      <c r="AT135" s="2">
        <v>99.3</v>
      </c>
      <c r="AU135" s="2">
        <v>99.3</v>
      </c>
      <c r="AV135" s="2">
        <v>99.2</v>
      </c>
      <c r="AW135" s="2">
        <v>99.9</v>
      </c>
      <c r="AX135" s="2">
        <v>99.2</v>
      </c>
      <c r="AY135" s="2">
        <v>99.4</v>
      </c>
      <c r="AZ135" s="2">
        <v>97.8</v>
      </c>
      <c r="BA135" s="2">
        <v>99.9</v>
      </c>
      <c r="BB135" s="2">
        <v>99.3</v>
      </c>
      <c r="BC135" s="2">
        <v>99.5</v>
      </c>
      <c r="BD135" s="2">
        <v>99.7</v>
      </c>
      <c r="BE135" s="2">
        <v>99.5</v>
      </c>
      <c r="BF135" s="2">
        <v>99.6</v>
      </c>
      <c r="BG135" s="2">
        <v>99.7</v>
      </c>
      <c r="BH135" s="2">
        <v>99.7</v>
      </c>
      <c r="BI135" s="2">
        <v>99.8</v>
      </c>
      <c r="BJ135" s="2">
        <v>99.9</v>
      </c>
      <c r="BK135" s="2">
        <v>99.7</v>
      </c>
      <c r="BL135" s="2">
        <v>100.0</v>
      </c>
      <c r="BM135" s="2">
        <v>100.0</v>
      </c>
      <c r="BN135" s="2">
        <v>100.0</v>
      </c>
      <c r="BO135" s="2">
        <v>100.0</v>
      </c>
      <c r="BP135" s="2">
        <v>100.0</v>
      </c>
      <c r="BQ135" s="2">
        <v>100.0</v>
      </c>
      <c r="BS135" s="3" t="str">
        <f>VLOOKUP(B135, Metadata!A:B, 2, FALSE)</f>
        <v>Middle East &amp; North Africa</v>
      </c>
    </row>
    <row r="136">
      <c r="A136" s="2" t="s">
        <v>94</v>
      </c>
      <c r="B136" s="2" t="s">
        <v>95</v>
      </c>
      <c r="C136" s="2" t="s">
        <v>4</v>
      </c>
      <c r="D136" s="2" t="s">
        <v>5</v>
      </c>
      <c r="AZ136" s="2">
        <v>3.0</v>
      </c>
      <c r="BA136" s="2">
        <v>1.3</v>
      </c>
      <c r="BB136" s="2">
        <v>1.9</v>
      </c>
      <c r="BC136" s="2">
        <v>5.3</v>
      </c>
      <c r="BD136" s="2">
        <v>4.1</v>
      </c>
      <c r="BE136" s="2">
        <v>9.3</v>
      </c>
      <c r="BF136" s="2">
        <v>9.8</v>
      </c>
      <c r="BG136" s="2">
        <v>9.4</v>
      </c>
      <c r="BH136" s="2">
        <v>15.2</v>
      </c>
      <c r="BI136" s="2">
        <v>17.7</v>
      </c>
      <c r="BJ136" s="2">
        <v>24.2</v>
      </c>
      <c r="BK136" s="2">
        <v>22.8</v>
      </c>
      <c r="BL136" s="2">
        <v>23.1</v>
      </c>
      <c r="BM136" s="2">
        <v>27.6</v>
      </c>
      <c r="BN136" s="2">
        <v>29.8</v>
      </c>
      <c r="BO136" s="2">
        <v>31.8</v>
      </c>
      <c r="BP136" s="2">
        <v>32.5</v>
      </c>
      <c r="BQ136" s="2">
        <v>34.9</v>
      </c>
      <c r="BS136" s="3" t="str">
        <f>VLOOKUP(B136, Metadata!A:B, 2, FALSE)</f>
        <v>Sub-Saharan Africa</v>
      </c>
      <c r="BT136" s="3">
        <f>VLOOKUP(B132,Population!A:B,2,FALSE)*(1-BP132/100)</f>
        <v>0</v>
      </c>
    </row>
    <row r="137" hidden="1">
      <c r="A137" s="2" t="s">
        <v>431</v>
      </c>
      <c r="B137" s="2" t="s">
        <v>277</v>
      </c>
      <c r="C137" s="2" t="s">
        <v>4</v>
      </c>
      <c r="D137" s="2" t="s">
        <v>5</v>
      </c>
      <c r="AS137" s="2">
        <v>99.8</v>
      </c>
      <c r="AT137" s="2">
        <v>96.9</v>
      </c>
      <c r="AU137" s="2">
        <v>95.2</v>
      </c>
      <c r="AV137" s="2">
        <v>93.5</v>
      </c>
      <c r="AW137" s="2">
        <v>91.8</v>
      </c>
      <c r="AX137" s="2">
        <v>90.1</v>
      </c>
      <c r="AY137" s="2">
        <v>88.4</v>
      </c>
      <c r="AZ137" s="2">
        <v>86.8</v>
      </c>
      <c r="BA137" s="2">
        <v>85.1</v>
      </c>
      <c r="BB137" s="2">
        <v>83.5</v>
      </c>
      <c r="BC137" s="2">
        <v>81.9</v>
      </c>
      <c r="BD137" s="2">
        <v>80.3</v>
      </c>
      <c r="BE137" s="2">
        <v>78.7</v>
      </c>
      <c r="BF137" s="2">
        <v>77.1</v>
      </c>
      <c r="BG137" s="2">
        <v>75.5</v>
      </c>
      <c r="BH137" s="2">
        <v>73.8</v>
      </c>
      <c r="BI137" s="2">
        <v>72.2</v>
      </c>
      <c r="BJ137" s="2">
        <v>70.6</v>
      </c>
      <c r="BK137" s="2">
        <v>67.0</v>
      </c>
      <c r="BL137" s="2">
        <v>68.5</v>
      </c>
      <c r="BM137" s="2">
        <v>69.4</v>
      </c>
      <c r="BN137" s="2">
        <v>70.2</v>
      </c>
      <c r="BO137" s="2">
        <v>70.0</v>
      </c>
      <c r="BP137" s="2">
        <v>73.2</v>
      </c>
      <c r="BQ137" s="2">
        <v>77.4</v>
      </c>
      <c r="BS137" s="3" t="str">
        <f>VLOOKUP(B137, Metadata!A:B, 2, FALSE)</f>
        <v>Middle East &amp; North Africa</v>
      </c>
    </row>
    <row r="138" hidden="1">
      <c r="A138" s="2" t="s">
        <v>432</v>
      </c>
      <c r="B138" s="2" t="s">
        <v>278</v>
      </c>
      <c r="C138" s="2" t="s">
        <v>4</v>
      </c>
      <c r="D138" s="2" t="s">
        <v>5</v>
      </c>
      <c r="AS138" s="2">
        <v>86.0</v>
      </c>
      <c r="AT138" s="2">
        <v>89.9</v>
      </c>
      <c r="AU138" s="2">
        <v>87.7</v>
      </c>
      <c r="AV138" s="2">
        <v>88.5</v>
      </c>
      <c r="AW138" s="2">
        <v>89.3</v>
      </c>
      <c r="AX138" s="2">
        <v>90.1</v>
      </c>
      <c r="AY138" s="2">
        <v>90.9</v>
      </c>
      <c r="AZ138" s="2">
        <v>91.8</v>
      </c>
      <c r="BA138" s="2">
        <v>92.7</v>
      </c>
      <c r="BB138" s="2">
        <v>93.5</v>
      </c>
      <c r="BC138" s="2">
        <v>94.2</v>
      </c>
      <c r="BD138" s="2">
        <v>95.4</v>
      </c>
      <c r="BE138" s="2">
        <v>95.3</v>
      </c>
      <c r="BF138" s="2">
        <v>97.2</v>
      </c>
      <c r="BG138" s="2">
        <v>98.1</v>
      </c>
      <c r="BH138" s="2">
        <v>99.0</v>
      </c>
      <c r="BI138" s="2">
        <v>99.8</v>
      </c>
      <c r="BJ138" s="2">
        <v>99.9</v>
      </c>
      <c r="BK138" s="2">
        <v>100.0</v>
      </c>
      <c r="BL138" s="2">
        <v>100.0</v>
      </c>
      <c r="BM138" s="2">
        <v>100.0</v>
      </c>
      <c r="BN138" s="2">
        <v>100.0</v>
      </c>
      <c r="BO138" s="2">
        <v>100.0</v>
      </c>
      <c r="BP138" s="2">
        <v>100.0</v>
      </c>
      <c r="BQ138" s="2">
        <v>100.0</v>
      </c>
      <c r="BS138" s="3" t="str">
        <f>VLOOKUP(B138, Metadata!A:B, 2, FALSE)</f>
        <v>Latin America &amp; Caribbean</v>
      </c>
    </row>
    <row r="139" hidden="1">
      <c r="A139" s="2" t="s">
        <v>433</v>
      </c>
      <c r="B139" s="2" t="s">
        <v>279</v>
      </c>
      <c r="C139" s="2" t="s">
        <v>4</v>
      </c>
      <c r="D139" s="2" t="s">
        <v>5</v>
      </c>
      <c r="AK139" s="2">
        <v>88.7344813622263</v>
      </c>
      <c r="AL139" s="2">
        <v>89.343452335519</v>
      </c>
      <c r="AM139" s="2">
        <v>90.2410137033078</v>
      </c>
      <c r="AN139" s="2">
        <v>88.6212635966981</v>
      </c>
      <c r="AO139" s="2">
        <v>89.5762688445638</v>
      </c>
      <c r="AP139" s="2">
        <v>90.0309008765328</v>
      </c>
      <c r="AQ139" s="2">
        <v>90.6482519055248</v>
      </c>
      <c r="AR139" s="2">
        <v>91.2576382948722</v>
      </c>
      <c r="AS139" s="2">
        <v>91.7360864277566</v>
      </c>
      <c r="AT139" s="2">
        <v>92.3325507733975</v>
      </c>
      <c r="AU139" s="2">
        <v>92.655446118845</v>
      </c>
      <c r="AV139" s="2">
        <v>92.7384088334582</v>
      </c>
      <c r="AW139" s="2">
        <v>93.2191410103356</v>
      </c>
      <c r="AX139" s="2">
        <v>93.5227442363083</v>
      </c>
      <c r="AY139" s="2">
        <v>94.2593346225013</v>
      </c>
      <c r="AZ139" s="2">
        <v>94.4765421959323</v>
      </c>
      <c r="BA139" s="2">
        <v>95.2230808289009</v>
      </c>
      <c r="BB139" s="2">
        <v>95.4266624028369</v>
      </c>
      <c r="BC139" s="2">
        <v>95.878387553278</v>
      </c>
      <c r="BD139" s="2">
        <v>96.1841031200508</v>
      </c>
      <c r="BE139" s="2">
        <v>96.569234553016</v>
      </c>
      <c r="BF139" s="2">
        <v>96.8646822286805</v>
      </c>
      <c r="BG139" s="2">
        <v>97.0540254170861</v>
      </c>
      <c r="BH139" s="2">
        <v>97.2847276074314</v>
      </c>
      <c r="BI139" s="2">
        <v>97.4783821342287</v>
      </c>
      <c r="BJ139" s="2">
        <v>97.7105992174177</v>
      </c>
      <c r="BK139" s="2">
        <v>97.756715207991</v>
      </c>
      <c r="BL139" s="2">
        <v>97.9982113870485</v>
      </c>
      <c r="BM139" s="2">
        <v>98.1472760748436</v>
      </c>
      <c r="BN139" s="2">
        <v>98.2756306140479</v>
      </c>
      <c r="BO139" s="2">
        <v>98.5788786246178</v>
      </c>
      <c r="BP139" s="2">
        <v>98.4226177308055</v>
      </c>
      <c r="BQ139" s="2">
        <v>98.0459111591331</v>
      </c>
      <c r="BS139" s="3" t="str">
        <f>VLOOKUP(B139, Metadata!A:B, 2, FALSE)</f>
        <v/>
      </c>
    </row>
    <row r="140" hidden="1">
      <c r="A140" s="2" t="s">
        <v>434</v>
      </c>
      <c r="B140" s="2" t="s">
        <v>280</v>
      </c>
      <c r="C140" s="2" t="s">
        <v>4</v>
      </c>
      <c r="D140" s="2" t="s">
        <v>5</v>
      </c>
      <c r="AS140" s="2">
        <v>20.2297888867973</v>
      </c>
      <c r="AT140" s="2">
        <v>20.998523820677</v>
      </c>
      <c r="AU140" s="2">
        <v>22.9827393959587</v>
      </c>
      <c r="AV140" s="2">
        <v>24.5207703650646</v>
      </c>
      <c r="AW140" s="2">
        <v>24.9097816552024</v>
      </c>
      <c r="AX140" s="2">
        <v>26.2710490039686</v>
      </c>
      <c r="AY140" s="2">
        <v>29.1401047414385</v>
      </c>
      <c r="AZ140" s="2">
        <v>29.3521138431476</v>
      </c>
      <c r="BA140" s="2">
        <v>30.7407323275746</v>
      </c>
      <c r="BB140" s="2">
        <v>32.1436467206264</v>
      </c>
      <c r="BC140" s="2">
        <v>33.0175069297973</v>
      </c>
      <c r="BD140" s="2">
        <v>34.4967065513717</v>
      </c>
      <c r="BE140" s="2">
        <v>37.8226066684459</v>
      </c>
      <c r="BF140" s="2">
        <v>38.2291562537799</v>
      </c>
      <c r="BG140" s="2">
        <v>39.4842881629205</v>
      </c>
      <c r="BH140" s="2">
        <v>42.3112596715938</v>
      </c>
      <c r="BI140" s="2">
        <v>46.3455300500397</v>
      </c>
      <c r="BJ140" s="2">
        <v>50.2060962041014</v>
      </c>
      <c r="BK140" s="2">
        <v>51.0882635710901</v>
      </c>
      <c r="BL140" s="2">
        <v>52.8790143070516</v>
      </c>
      <c r="BM140" s="2">
        <v>54.4739882982852</v>
      </c>
      <c r="BN140" s="2">
        <v>56.1058821370756</v>
      </c>
      <c r="BO140" s="2">
        <v>56.7044105069269</v>
      </c>
      <c r="BP140" s="2">
        <v>58.4334317805897</v>
      </c>
      <c r="BQ140" s="2">
        <v>60.3676703753846</v>
      </c>
      <c r="BS140" s="3" t="str">
        <f>VLOOKUP(B140, Metadata!A:B, 2, FALSE)</f>
        <v/>
      </c>
    </row>
    <row r="141" hidden="1">
      <c r="A141" s="2" t="s">
        <v>435</v>
      </c>
      <c r="B141" s="2" t="s">
        <v>281</v>
      </c>
      <c r="C141" s="2" t="s">
        <v>4</v>
      </c>
      <c r="D141" s="2" t="s">
        <v>5</v>
      </c>
      <c r="AS141" s="2">
        <v>15.871513966618</v>
      </c>
      <c r="AT141" s="2">
        <v>16.6083802971537</v>
      </c>
      <c r="AU141" s="2">
        <v>17.2911946260875</v>
      </c>
      <c r="AV141" s="2">
        <v>19.0128510487425</v>
      </c>
      <c r="AW141" s="2">
        <v>19.7997170832033</v>
      </c>
      <c r="AX141" s="2">
        <v>19.5165337187456</v>
      </c>
      <c r="AY141" s="2">
        <v>22.0489105409309</v>
      </c>
      <c r="AZ141" s="2">
        <v>23.5748631384136</v>
      </c>
      <c r="BA141" s="2">
        <v>23.0606102478975</v>
      </c>
      <c r="BB141" s="2">
        <v>24.6217439660026</v>
      </c>
      <c r="BC141" s="2">
        <v>26.2229922326264</v>
      </c>
      <c r="BD141" s="2">
        <v>26.6853268366793</v>
      </c>
      <c r="BE141" s="2">
        <v>29.7691700471348</v>
      </c>
      <c r="BF141" s="2">
        <v>30.8942817805451</v>
      </c>
      <c r="BG141" s="2">
        <v>32.19902354043</v>
      </c>
      <c r="BH141" s="2">
        <v>32.1944741335402</v>
      </c>
      <c r="BI141" s="2">
        <v>37.4479617651254</v>
      </c>
      <c r="BJ141" s="2">
        <v>39.1396999246683</v>
      </c>
      <c r="BK141" s="2">
        <v>40.4586751561812</v>
      </c>
      <c r="BL141" s="2">
        <v>41.8440112578434</v>
      </c>
      <c r="BM141" s="2">
        <v>43.236730725436</v>
      </c>
      <c r="BN141" s="2">
        <v>44.8338005527739</v>
      </c>
      <c r="BO141" s="2">
        <v>44.9581860319955</v>
      </c>
      <c r="BP141" s="2">
        <v>46.8863791540125</v>
      </c>
      <c r="BQ141" s="2">
        <v>48.8005987231827</v>
      </c>
      <c r="BS141" s="3" t="str">
        <f>VLOOKUP(B141, Metadata!A:B, 2, FALSE)</f>
        <v/>
      </c>
    </row>
    <row r="142" hidden="1">
      <c r="A142" s="2" t="s">
        <v>436</v>
      </c>
      <c r="B142" s="2" t="s">
        <v>282</v>
      </c>
      <c r="C142" s="2" t="s">
        <v>4</v>
      </c>
      <c r="D142" s="2" t="s">
        <v>5</v>
      </c>
      <c r="AI142" s="2">
        <v>100.0</v>
      </c>
      <c r="AJ142" s="2">
        <v>100.0</v>
      </c>
      <c r="AK142" s="2">
        <v>100.0</v>
      </c>
      <c r="AL142" s="2">
        <v>100.0</v>
      </c>
      <c r="AM142" s="2">
        <v>100.0</v>
      </c>
      <c r="AN142" s="2">
        <v>100.0</v>
      </c>
      <c r="AO142" s="2">
        <v>100.0</v>
      </c>
      <c r="AP142" s="2">
        <v>100.0</v>
      </c>
      <c r="AQ142" s="2">
        <v>100.0</v>
      </c>
      <c r="AR142" s="2">
        <v>100.0</v>
      </c>
      <c r="AS142" s="2">
        <v>100.0</v>
      </c>
      <c r="AT142" s="2">
        <v>100.0</v>
      </c>
      <c r="AU142" s="2">
        <v>100.0</v>
      </c>
      <c r="AV142" s="2">
        <v>100.0</v>
      </c>
      <c r="AW142" s="2">
        <v>100.0</v>
      </c>
      <c r="AX142" s="2">
        <v>100.0</v>
      </c>
      <c r="AY142" s="2">
        <v>100.0</v>
      </c>
      <c r="AZ142" s="2">
        <v>100.0</v>
      </c>
      <c r="BA142" s="2">
        <v>100.0</v>
      </c>
      <c r="BB142" s="2">
        <v>100.0</v>
      </c>
      <c r="BC142" s="2">
        <v>100.0</v>
      </c>
      <c r="BD142" s="2">
        <v>100.0</v>
      </c>
      <c r="BE142" s="2">
        <v>100.0</v>
      </c>
      <c r="BF142" s="2">
        <v>100.0</v>
      </c>
      <c r="BG142" s="2">
        <v>100.0</v>
      </c>
      <c r="BH142" s="2">
        <v>100.0</v>
      </c>
      <c r="BI142" s="2">
        <v>100.0</v>
      </c>
      <c r="BJ142" s="2">
        <v>100.0</v>
      </c>
      <c r="BK142" s="2">
        <v>100.0</v>
      </c>
      <c r="BL142" s="2">
        <v>100.0</v>
      </c>
      <c r="BM142" s="2">
        <v>100.0</v>
      </c>
      <c r="BN142" s="2">
        <v>100.0</v>
      </c>
      <c r="BO142" s="2">
        <v>100.0</v>
      </c>
      <c r="BP142" s="2">
        <v>100.0</v>
      </c>
      <c r="BQ142" s="2">
        <v>100.0</v>
      </c>
      <c r="BS142" s="3" t="str">
        <f>VLOOKUP(B142, Metadata!A:B, 2, FALSE)</f>
        <v>Europe &amp; Central Asia</v>
      </c>
    </row>
    <row r="143" hidden="1">
      <c r="A143" s="2" t="s">
        <v>441</v>
      </c>
      <c r="B143" s="2" t="s">
        <v>283</v>
      </c>
      <c r="C143" s="2" t="s">
        <v>4</v>
      </c>
      <c r="D143" s="2" t="s">
        <v>5</v>
      </c>
      <c r="AS143" s="2">
        <v>70.3</v>
      </c>
      <c r="AT143" s="2">
        <v>63.6</v>
      </c>
      <c r="AU143" s="2">
        <v>80.7</v>
      </c>
      <c r="AV143" s="2">
        <v>75.0</v>
      </c>
      <c r="AW143" s="2">
        <v>76.5</v>
      </c>
      <c r="AX143" s="2">
        <v>78.1</v>
      </c>
      <c r="AY143" s="2">
        <v>82.0</v>
      </c>
      <c r="AZ143" s="2">
        <v>80.0</v>
      </c>
      <c r="BA143" s="2">
        <v>82.9</v>
      </c>
      <c r="BB143" s="2">
        <v>87.1</v>
      </c>
      <c r="BC143" s="2">
        <v>85.3</v>
      </c>
      <c r="BD143" s="2">
        <v>87.8</v>
      </c>
      <c r="BE143" s="2">
        <v>87.0</v>
      </c>
      <c r="BF143" s="2">
        <v>90.2</v>
      </c>
      <c r="BG143" s="2">
        <v>92.7</v>
      </c>
      <c r="BH143" s="2">
        <v>94.3</v>
      </c>
      <c r="BI143" s="2">
        <v>97.5</v>
      </c>
      <c r="BJ143" s="2">
        <v>97.5</v>
      </c>
      <c r="BK143" s="2">
        <v>99.6</v>
      </c>
      <c r="BL143" s="2">
        <v>99.8</v>
      </c>
      <c r="BM143" s="2">
        <v>100.0</v>
      </c>
      <c r="BN143" s="2">
        <v>100.0</v>
      </c>
      <c r="BO143" s="2">
        <v>100.0</v>
      </c>
      <c r="BP143" s="2">
        <v>100.0</v>
      </c>
      <c r="BQ143" s="2">
        <v>100.0</v>
      </c>
      <c r="BS143" s="3" t="str">
        <f>VLOOKUP(B143, Metadata!A:B, 2, FALSE)</f>
        <v>South Asia</v>
      </c>
    </row>
    <row r="144" hidden="1">
      <c r="A144" s="2" t="s">
        <v>439</v>
      </c>
      <c r="B144" s="2" t="s">
        <v>284</v>
      </c>
      <c r="C144" s="2" t="s">
        <v>4</v>
      </c>
      <c r="D144" s="2" t="s">
        <v>5</v>
      </c>
      <c r="AL144" s="2">
        <v>46.8831156592384</v>
      </c>
      <c r="AM144" s="2">
        <v>46.7178207428025</v>
      </c>
      <c r="AN144" s="2">
        <v>47.9521829415116</v>
      </c>
      <c r="AO144" s="2">
        <v>49.6735671795207</v>
      </c>
      <c r="AP144" s="2">
        <v>51.1081837921292</v>
      </c>
      <c r="AQ144" s="2">
        <v>53.9518291056457</v>
      </c>
      <c r="AR144" s="2">
        <v>56.6136030903945</v>
      </c>
      <c r="AS144" s="2">
        <v>56.5187062349224</v>
      </c>
      <c r="AT144" s="2">
        <v>57.8061851632183</v>
      </c>
      <c r="AU144" s="2">
        <v>58.6512310568251</v>
      </c>
      <c r="AV144" s="2">
        <v>61.2062437395027</v>
      </c>
      <c r="AW144" s="2">
        <v>60.5800287847555</v>
      </c>
      <c r="AX144" s="2">
        <v>63.6115728658802</v>
      </c>
      <c r="AY144" s="2">
        <v>64.3546929200155</v>
      </c>
      <c r="AZ144" s="2">
        <v>66.5219973625518</v>
      </c>
      <c r="BA144" s="2">
        <v>68.4462514811748</v>
      </c>
      <c r="BB144" s="2">
        <v>69.0978321506303</v>
      </c>
      <c r="BC144" s="2">
        <v>70.1969409471129</v>
      </c>
      <c r="BD144" s="2">
        <v>73.2036502412611</v>
      </c>
      <c r="BE144" s="2">
        <v>73.8530744719485</v>
      </c>
      <c r="BF144" s="2">
        <v>75.9068639552835</v>
      </c>
      <c r="BG144" s="2">
        <v>77.0398843798137</v>
      </c>
      <c r="BH144" s="2">
        <v>79.5898315547367</v>
      </c>
      <c r="BI144" s="2">
        <v>81.6559415186104</v>
      </c>
      <c r="BJ144" s="2">
        <v>83.6717620116648</v>
      </c>
      <c r="BK144" s="2">
        <v>86.0358983303437</v>
      </c>
      <c r="BL144" s="2">
        <v>86.7664523653516</v>
      </c>
      <c r="BM144" s="2">
        <v>87.534043658525</v>
      </c>
      <c r="BN144" s="2">
        <v>89.8258266528143</v>
      </c>
      <c r="BO144" s="2">
        <v>89.9475979235739</v>
      </c>
      <c r="BP144" s="2">
        <v>90.5927216759463</v>
      </c>
      <c r="BQ144" s="2">
        <v>91.3581860772078</v>
      </c>
      <c r="BS144" s="3" t="str">
        <f>VLOOKUP(B144, Metadata!A:B, 2, FALSE)</f>
        <v/>
      </c>
    </row>
    <row r="145" hidden="1">
      <c r="A145" s="2" t="s">
        <v>443</v>
      </c>
      <c r="B145" s="2" t="s">
        <v>285</v>
      </c>
      <c r="C145" s="2" t="s">
        <v>4</v>
      </c>
      <c r="D145" s="2" t="s">
        <v>5</v>
      </c>
      <c r="AS145" s="2">
        <v>72.8514198716747</v>
      </c>
      <c r="AT145" s="2">
        <v>73.5189375305666</v>
      </c>
      <c r="AU145" s="2">
        <v>74.04839410795</v>
      </c>
      <c r="AV145" s="2">
        <v>75.1627496964261</v>
      </c>
      <c r="AW145" s="2">
        <v>75.1922710297994</v>
      </c>
      <c r="AX145" s="2">
        <v>76.1622254009627</v>
      </c>
      <c r="AY145" s="2">
        <v>76.9955705622239</v>
      </c>
      <c r="AZ145" s="2">
        <v>77.7987542218982</v>
      </c>
      <c r="BA145" s="2">
        <v>78.681919816968</v>
      </c>
      <c r="BB145" s="2">
        <v>78.9632554785921</v>
      </c>
      <c r="BC145" s="2">
        <v>79.6902756646493</v>
      </c>
      <c r="BD145" s="2">
        <v>81.0254041647238</v>
      </c>
      <c r="BE145" s="2">
        <v>81.5564750427461</v>
      </c>
      <c r="BF145" s="2">
        <v>82.5311051839365</v>
      </c>
      <c r="BG145" s="2">
        <v>83.1453669500425</v>
      </c>
      <c r="BH145" s="2">
        <v>84.1611741682089</v>
      </c>
      <c r="BI145" s="2">
        <v>85.5246558169944</v>
      </c>
      <c r="BJ145" s="2">
        <v>86.5356490857827</v>
      </c>
      <c r="BK145" s="2">
        <v>87.6089655146589</v>
      </c>
      <c r="BL145" s="2">
        <v>88.0036720417216</v>
      </c>
      <c r="BM145" s="2">
        <v>88.3700636132634</v>
      </c>
      <c r="BN145" s="2">
        <v>89.5267133602325</v>
      </c>
      <c r="BO145" s="2">
        <v>89.4668649583682</v>
      </c>
      <c r="BP145" s="2">
        <v>89.8583124845854</v>
      </c>
      <c r="BQ145" s="2">
        <v>90.2581392015093</v>
      </c>
      <c r="BS145" s="3" t="str">
        <f>VLOOKUP(B145, Metadata!A:B, 2, FALSE)</f>
        <v/>
      </c>
    </row>
    <row r="146">
      <c r="A146" s="2" t="s">
        <v>132</v>
      </c>
      <c r="B146" s="2" t="s">
        <v>133</v>
      </c>
      <c r="C146" s="2" t="s">
        <v>4</v>
      </c>
      <c r="D146" s="2" t="s">
        <v>5</v>
      </c>
      <c r="AS146" s="2">
        <v>4.3</v>
      </c>
      <c r="AT146" s="2">
        <v>1.3</v>
      </c>
      <c r="AU146" s="2">
        <v>3.4</v>
      </c>
      <c r="AV146" s="2">
        <v>5.4</v>
      </c>
      <c r="AW146" s="2">
        <v>6.8</v>
      </c>
      <c r="AX146" s="2">
        <v>9.6</v>
      </c>
      <c r="AY146" s="2">
        <v>9.7</v>
      </c>
      <c r="AZ146" s="2">
        <v>13.9</v>
      </c>
      <c r="BA146" s="2">
        <v>16.0</v>
      </c>
      <c r="BB146" s="2">
        <v>17.0</v>
      </c>
      <c r="BC146" s="2">
        <v>17.0</v>
      </c>
      <c r="BD146" s="2">
        <v>22.5</v>
      </c>
      <c r="BE146" s="2">
        <v>20.6</v>
      </c>
      <c r="BF146" s="2">
        <v>26.9</v>
      </c>
      <c r="BG146" s="2">
        <v>27.8</v>
      </c>
      <c r="BH146" s="2">
        <v>31.8</v>
      </c>
      <c r="BI146" s="2">
        <v>35.1</v>
      </c>
      <c r="BJ146" s="2">
        <v>33.7</v>
      </c>
      <c r="BK146" s="2">
        <v>47.0</v>
      </c>
      <c r="BL146" s="2">
        <v>44.6</v>
      </c>
      <c r="BM146" s="2">
        <v>47.5</v>
      </c>
      <c r="BN146" s="2">
        <v>50.4</v>
      </c>
      <c r="BO146" s="2">
        <v>50.0</v>
      </c>
      <c r="BP146" s="2">
        <v>57.3</v>
      </c>
      <c r="BQ146" s="2">
        <v>60.6</v>
      </c>
      <c r="BS146" s="3" t="str">
        <f>VLOOKUP(B146, Metadata!A:B, 2, FALSE)</f>
        <v>Sub-Saharan Africa</v>
      </c>
      <c r="BT146" s="3">
        <f>VLOOKUP(B142,Population!A:B,2,FALSE)*(1-BP142/100)</f>
        <v>0</v>
      </c>
    </row>
    <row r="147" hidden="1">
      <c r="A147" s="2" t="s">
        <v>445</v>
      </c>
      <c r="B147" s="2" t="s">
        <v>286</v>
      </c>
      <c r="C147" s="2" t="s">
        <v>4</v>
      </c>
      <c r="D147" s="2" t="s">
        <v>5</v>
      </c>
      <c r="AS147" s="2">
        <v>95.2513038887096</v>
      </c>
      <c r="AT147" s="2">
        <v>95.9134985246953</v>
      </c>
      <c r="AU147" s="2">
        <v>96.2537074525687</v>
      </c>
      <c r="AV147" s="2">
        <v>96.4557227481915</v>
      </c>
      <c r="AW147" s="2">
        <v>96.7359835008107</v>
      </c>
      <c r="AX147" s="2">
        <v>97.1664597205879</v>
      </c>
      <c r="AY147" s="2">
        <v>97.8885016443465</v>
      </c>
      <c r="AZ147" s="2">
        <v>97.6286750102813</v>
      </c>
      <c r="BA147" s="2">
        <v>97.9949263472304</v>
      </c>
      <c r="BB147" s="2">
        <v>97.6887829474675</v>
      </c>
      <c r="BC147" s="2">
        <v>98.3525114394723</v>
      </c>
      <c r="BD147" s="2">
        <v>98.6260218375387</v>
      </c>
      <c r="BE147" s="2">
        <v>98.7121889212507</v>
      </c>
      <c r="BF147" s="2">
        <v>98.8979674454125</v>
      </c>
      <c r="BG147" s="2">
        <v>99.0043394238423</v>
      </c>
      <c r="BH147" s="2">
        <v>98.7802217306047</v>
      </c>
      <c r="BI147" s="2">
        <v>99.1163496922603</v>
      </c>
      <c r="BJ147" s="2">
        <v>99.2721123074965</v>
      </c>
      <c r="BK147" s="2">
        <v>99.2806763593238</v>
      </c>
      <c r="BL147" s="2">
        <v>99.3289771232339</v>
      </c>
      <c r="BM147" s="2">
        <v>99.3868589993401</v>
      </c>
      <c r="BN147" s="2">
        <v>99.4116181639433</v>
      </c>
      <c r="BO147" s="2">
        <v>99.4771148328134</v>
      </c>
      <c r="BP147" s="2">
        <v>99.4570958130029</v>
      </c>
      <c r="BQ147" s="2">
        <v>99.5003821979258</v>
      </c>
      <c r="BS147" s="3" t="str">
        <f>VLOOKUP(B147, Metadata!A:B, 2, FALSE)</f>
        <v/>
      </c>
    </row>
    <row r="148" hidden="1">
      <c r="A148" s="2" t="s">
        <v>446</v>
      </c>
      <c r="B148" s="2" t="s">
        <v>287</v>
      </c>
      <c r="C148" s="2" t="s">
        <v>4</v>
      </c>
      <c r="D148" s="2" t="s">
        <v>5</v>
      </c>
      <c r="AI148" s="2">
        <v>100.0</v>
      </c>
      <c r="AJ148" s="2">
        <v>100.0</v>
      </c>
      <c r="AK148" s="2">
        <v>100.0</v>
      </c>
      <c r="AL148" s="2">
        <v>100.0</v>
      </c>
      <c r="AM148" s="2">
        <v>100.0</v>
      </c>
      <c r="AN148" s="2">
        <v>100.0</v>
      </c>
      <c r="AO148" s="2">
        <v>100.0</v>
      </c>
      <c r="AP148" s="2">
        <v>100.0</v>
      </c>
      <c r="AQ148" s="2">
        <v>100.0</v>
      </c>
      <c r="AR148" s="2">
        <v>100.0</v>
      </c>
      <c r="AS148" s="2">
        <v>99.5</v>
      </c>
      <c r="AT148" s="2">
        <v>99.5</v>
      </c>
      <c r="AU148" s="2">
        <v>99.4</v>
      </c>
      <c r="AV148" s="2">
        <v>99.4</v>
      </c>
      <c r="AW148" s="2">
        <v>99.4</v>
      </c>
      <c r="AX148" s="2">
        <v>99.4</v>
      </c>
      <c r="AY148" s="2">
        <v>99.4</v>
      </c>
      <c r="AZ148" s="2">
        <v>99.4</v>
      </c>
      <c r="BA148" s="2">
        <v>99.4</v>
      </c>
      <c r="BB148" s="2">
        <v>99.5</v>
      </c>
      <c r="BC148" s="2">
        <v>99.7</v>
      </c>
      <c r="BD148" s="2">
        <v>99.7</v>
      </c>
      <c r="BE148" s="2">
        <v>100.0</v>
      </c>
      <c r="BF148" s="2">
        <v>100.0</v>
      </c>
      <c r="BG148" s="2">
        <v>100.0</v>
      </c>
      <c r="BH148" s="2">
        <v>100.0</v>
      </c>
      <c r="BI148" s="2">
        <v>100.0</v>
      </c>
      <c r="BJ148" s="2">
        <v>100.0</v>
      </c>
      <c r="BK148" s="2">
        <v>100.0</v>
      </c>
      <c r="BL148" s="2">
        <v>100.0</v>
      </c>
      <c r="BM148" s="2">
        <v>100.0</v>
      </c>
      <c r="BN148" s="2">
        <v>100.0</v>
      </c>
      <c r="BO148" s="2">
        <v>100.0</v>
      </c>
      <c r="BP148" s="2">
        <v>100.0</v>
      </c>
      <c r="BQ148" s="2">
        <v>100.0</v>
      </c>
      <c r="BS148" s="3" t="str">
        <f>VLOOKUP(B148, Metadata!A:B, 2, FALSE)</f>
        <v>Europe &amp; Central Asia</v>
      </c>
    </row>
    <row r="149" hidden="1">
      <c r="A149" s="2" t="s">
        <v>447</v>
      </c>
      <c r="B149" s="2" t="s">
        <v>288</v>
      </c>
      <c r="C149" s="2" t="s">
        <v>4</v>
      </c>
      <c r="D149" s="2" t="s">
        <v>5</v>
      </c>
      <c r="AI149" s="2">
        <v>100.0</v>
      </c>
      <c r="AJ149" s="2">
        <v>100.0</v>
      </c>
      <c r="AK149" s="2">
        <v>100.0</v>
      </c>
      <c r="AL149" s="2">
        <v>100.0</v>
      </c>
      <c r="AM149" s="2">
        <v>100.0</v>
      </c>
      <c r="AN149" s="2">
        <v>100.0</v>
      </c>
      <c r="AO149" s="2">
        <v>100.0</v>
      </c>
      <c r="AP149" s="2">
        <v>100.0</v>
      </c>
      <c r="AQ149" s="2">
        <v>100.0</v>
      </c>
      <c r="AR149" s="2">
        <v>100.0</v>
      </c>
      <c r="AS149" s="2">
        <v>100.0</v>
      </c>
      <c r="AT149" s="2">
        <v>100.0</v>
      </c>
      <c r="AU149" s="2">
        <v>100.0</v>
      </c>
      <c r="AV149" s="2">
        <v>100.0</v>
      </c>
      <c r="AW149" s="2">
        <v>100.0</v>
      </c>
      <c r="AX149" s="2">
        <v>100.0</v>
      </c>
      <c r="AY149" s="2">
        <v>100.0</v>
      </c>
      <c r="AZ149" s="2">
        <v>100.0</v>
      </c>
      <c r="BA149" s="2">
        <v>100.0</v>
      </c>
      <c r="BB149" s="2">
        <v>100.0</v>
      </c>
      <c r="BC149" s="2">
        <v>100.0</v>
      </c>
      <c r="BD149" s="2">
        <v>100.0</v>
      </c>
      <c r="BE149" s="2">
        <v>100.0</v>
      </c>
      <c r="BF149" s="2">
        <v>100.0</v>
      </c>
      <c r="BG149" s="2">
        <v>100.0</v>
      </c>
      <c r="BH149" s="2">
        <v>100.0</v>
      </c>
      <c r="BI149" s="2">
        <v>100.0</v>
      </c>
      <c r="BJ149" s="2">
        <v>100.0</v>
      </c>
      <c r="BK149" s="2">
        <v>100.0</v>
      </c>
      <c r="BL149" s="2">
        <v>100.0</v>
      </c>
      <c r="BM149" s="2">
        <v>100.0</v>
      </c>
      <c r="BN149" s="2">
        <v>100.0</v>
      </c>
      <c r="BO149" s="2">
        <v>100.0</v>
      </c>
      <c r="BP149" s="2">
        <v>100.0</v>
      </c>
      <c r="BQ149" s="2">
        <v>100.0</v>
      </c>
      <c r="BS149" s="3" t="str">
        <f>VLOOKUP(B149, Metadata!A:B, 2, FALSE)</f>
        <v>Europe &amp; Central Asia</v>
      </c>
    </row>
    <row r="150" hidden="1">
      <c r="A150" s="2" t="s">
        <v>448</v>
      </c>
      <c r="B150" s="2" t="s">
        <v>289</v>
      </c>
      <c r="C150" s="2" t="s">
        <v>4</v>
      </c>
      <c r="D150" s="2" t="s">
        <v>5</v>
      </c>
      <c r="AI150" s="2">
        <v>100.0</v>
      </c>
      <c r="AJ150" s="2">
        <v>100.0</v>
      </c>
      <c r="AK150" s="2">
        <v>100.0</v>
      </c>
      <c r="AL150" s="2">
        <v>100.0</v>
      </c>
      <c r="AM150" s="2">
        <v>100.0</v>
      </c>
      <c r="AN150" s="2">
        <v>100.0</v>
      </c>
      <c r="AO150" s="2">
        <v>100.0</v>
      </c>
      <c r="AP150" s="2">
        <v>100.0</v>
      </c>
      <c r="AQ150" s="2">
        <v>100.0</v>
      </c>
      <c r="AR150" s="2">
        <v>100.0</v>
      </c>
      <c r="AS150" s="2">
        <v>99.9</v>
      </c>
      <c r="AT150" s="2">
        <v>99.9</v>
      </c>
      <c r="AU150" s="2">
        <v>99.8</v>
      </c>
      <c r="AV150" s="2">
        <v>99.8</v>
      </c>
      <c r="AW150" s="2">
        <v>99.7</v>
      </c>
      <c r="AX150" s="2">
        <v>99.7</v>
      </c>
      <c r="AY150" s="2">
        <v>99.6</v>
      </c>
      <c r="AZ150" s="2">
        <v>99.7</v>
      </c>
      <c r="BA150" s="2">
        <v>99.7</v>
      </c>
      <c r="BB150" s="2">
        <v>100.0</v>
      </c>
      <c r="BC150" s="2">
        <v>99.8</v>
      </c>
      <c r="BD150" s="2">
        <v>99.8</v>
      </c>
      <c r="BE150" s="2">
        <v>100.0</v>
      </c>
      <c r="BF150" s="2">
        <v>100.0</v>
      </c>
      <c r="BG150" s="2">
        <v>100.0</v>
      </c>
      <c r="BH150" s="2">
        <v>100.0</v>
      </c>
      <c r="BI150" s="2">
        <v>100.0</v>
      </c>
      <c r="BJ150" s="2">
        <v>100.0</v>
      </c>
      <c r="BK150" s="2">
        <v>100.0</v>
      </c>
      <c r="BL150" s="2">
        <v>100.0</v>
      </c>
      <c r="BM150" s="2">
        <v>100.0</v>
      </c>
      <c r="BN150" s="2">
        <v>100.0</v>
      </c>
      <c r="BO150" s="2">
        <v>100.0</v>
      </c>
      <c r="BP150" s="2">
        <v>100.0</v>
      </c>
      <c r="BQ150" s="2">
        <v>100.0</v>
      </c>
      <c r="BS150" s="3" t="str">
        <f>VLOOKUP(B150, Metadata!A:B, 2, FALSE)</f>
        <v>Europe &amp; Central Asia</v>
      </c>
    </row>
    <row r="151" hidden="1">
      <c r="A151" s="2" t="s">
        <v>449</v>
      </c>
      <c r="B151" s="2" t="s">
        <v>290</v>
      </c>
      <c r="C151" s="2" t="s">
        <v>4</v>
      </c>
      <c r="D151" s="2" t="s">
        <v>5</v>
      </c>
      <c r="AI151" s="2">
        <v>99.8492813110352</v>
      </c>
      <c r="AJ151" s="2">
        <v>99.8805847167969</v>
      </c>
      <c r="AK151" s="2">
        <v>99.9114303588867</v>
      </c>
      <c r="AL151" s="2">
        <v>99.9416198730469</v>
      </c>
      <c r="AM151" s="2">
        <v>100.0</v>
      </c>
      <c r="AN151" s="2">
        <v>100.0</v>
      </c>
      <c r="AO151" s="2">
        <v>100.0</v>
      </c>
      <c r="AP151" s="2">
        <v>100.0</v>
      </c>
      <c r="AQ151" s="2">
        <v>100.0</v>
      </c>
      <c r="AR151" s="2">
        <v>100.0</v>
      </c>
      <c r="AS151" s="2">
        <v>100.0</v>
      </c>
      <c r="AT151" s="2">
        <v>100.0</v>
      </c>
      <c r="AU151" s="2">
        <v>100.0</v>
      </c>
      <c r="AV151" s="2">
        <v>100.0</v>
      </c>
      <c r="AW151" s="2">
        <v>100.0</v>
      </c>
      <c r="AX151" s="2">
        <v>100.0</v>
      </c>
      <c r="AY151" s="2">
        <v>100.0</v>
      </c>
      <c r="AZ151" s="2">
        <v>100.0</v>
      </c>
      <c r="BA151" s="2">
        <v>100.0</v>
      </c>
      <c r="BB151" s="2">
        <v>100.0</v>
      </c>
      <c r="BC151" s="2">
        <v>100.0</v>
      </c>
      <c r="BD151" s="2">
        <v>100.0</v>
      </c>
      <c r="BE151" s="2">
        <v>100.0</v>
      </c>
      <c r="BF151" s="2">
        <v>100.0</v>
      </c>
      <c r="BG151" s="2">
        <v>100.0</v>
      </c>
      <c r="BH151" s="2">
        <v>100.0</v>
      </c>
      <c r="BI151" s="2">
        <v>100.0</v>
      </c>
      <c r="BJ151" s="2">
        <v>100.0</v>
      </c>
      <c r="BK151" s="2">
        <v>100.0</v>
      </c>
      <c r="BL151" s="2">
        <v>100.0</v>
      </c>
      <c r="BM151" s="2">
        <v>100.0</v>
      </c>
      <c r="BN151" s="2">
        <v>100.0</v>
      </c>
      <c r="BO151" s="2">
        <v>100.0</v>
      </c>
      <c r="BP151" s="2">
        <v>100.0</v>
      </c>
      <c r="BQ151" s="2">
        <v>100.0</v>
      </c>
      <c r="BS151" s="3" t="str">
        <f>VLOOKUP(B151, Metadata!A:B, 2, FALSE)</f>
        <v>East Asia &amp; Pacific</v>
      </c>
    </row>
    <row r="152" hidden="1">
      <c r="A152" s="2" t="s">
        <v>450</v>
      </c>
      <c r="B152" s="2" t="s">
        <v>291</v>
      </c>
      <c r="C152" s="2" t="s">
        <v>4</v>
      </c>
      <c r="D152" s="2" t="s">
        <v>5</v>
      </c>
      <c r="AI152" s="2">
        <v>100.0</v>
      </c>
      <c r="AJ152" s="2">
        <v>100.0</v>
      </c>
      <c r="AK152" s="2">
        <v>100.0</v>
      </c>
      <c r="AL152" s="2">
        <v>100.0</v>
      </c>
      <c r="AM152" s="2">
        <v>100.0</v>
      </c>
      <c r="AN152" s="2">
        <v>100.0</v>
      </c>
      <c r="AO152" s="2">
        <v>100.0</v>
      </c>
      <c r="AP152" s="2">
        <v>100.0</v>
      </c>
      <c r="AQ152" s="2">
        <v>100.0</v>
      </c>
      <c r="AR152" s="2">
        <v>100.0</v>
      </c>
      <c r="AS152" s="2">
        <v>100.0</v>
      </c>
      <c r="AT152" s="2">
        <v>99.9</v>
      </c>
      <c r="AU152" s="2">
        <v>99.9</v>
      </c>
      <c r="AV152" s="2">
        <v>99.8</v>
      </c>
      <c r="AW152" s="2">
        <v>99.8</v>
      </c>
      <c r="AX152" s="2">
        <v>99.7</v>
      </c>
      <c r="AY152" s="2">
        <v>99.7</v>
      </c>
      <c r="AZ152" s="2">
        <v>99.7</v>
      </c>
      <c r="BA152" s="2">
        <v>99.7</v>
      </c>
      <c r="BB152" s="2">
        <v>99.7</v>
      </c>
      <c r="BC152" s="2">
        <v>100.0</v>
      </c>
      <c r="BD152" s="2">
        <v>100.0</v>
      </c>
      <c r="BE152" s="2">
        <v>100.0</v>
      </c>
      <c r="BF152" s="2">
        <v>100.0</v>
      </c>
      <c r="BG152" s="2">
        <v>100.0</v>
      </c>
      <c r="BH152" s="2">
        <v>100.0</v>
      </c>
      <c r="BI152" s="2">
        <v>100.0</v>
      </c>
      <c r="BJ152" s="2">
        <v>100.0</v>
      </c>
      <c r="BK152" s="2">
        <v>100.0</v>
      </c>
      <c r="BL152" s="2">
        <v>100.0</v>
      </c>
      <c r="BM152" s="2">
        <v>100.0</v>
      </c>
      <c r="BN152" s="2">
        <v>100.0</v>
      </c>
      <c r="BO152" s="2">
        <v>100.0</v>
      </c>
      <c r="BP152" s="2">
        <v>100.0</v>
      </c>
      <c r="BQ152" s="2">
        <v>100.0</v>
      </c>
      <c r="BS152" s="3" t="str">
        <f>VLOOKUP(B152, Metadata!A:B, 2, FALSE)</f>
        <v>Latin America &amp; Caribbean</v>
      </c>
    </row>
    <row r="153" hidden="1">
      <c r="A153" s="2" t="s">
        <v>451</v>
      </c>
      <c r="B153" s="2" t="s">
        <v>292</v>
      </c>
      <c r="C153" s="2" t="s">
        <v>4</v>
      </c>
      <c r="D153" s="2" t="s">
        <v>5</v>
      </c>
      <c r="AK153" s="2">
        <v>49.2</v>
      </c>
      <c r="AL153" s="2">
        <v>56.7726516723633</v>
      </c>
      <c r="AM153" s="2">
        <v>58.6088981628418</v>
      </c>
      <c r="AN153" s="2">
        <v>56.5</v>
      </c>
      <c r="AO153" s="2">
        <v>62.2745933532715</v>
      </c>
      <c r="AP153" s="2">
        <v>64.1026840209961</v>
      </c>
      <c r="AQ153" s="2">
        <v>65.9266891479492</v>
      </c>
      <c r="AR153" s="2">
        <v>67.7458572387695</v>
      </c>
      <c r="AS153" s="2">
        <v>69.8</v>
      </c>
      <c r="AT153" s="2">
        <v>71.6</v>
      </c>
      <c r="AU153" s="2">
        <v>73.3</v>
      </c>
      <c r="AV153" s="2">
        <v>75.1</v>
      </c>
      <c r="AW153" s="2">
        <v>78.2</v>
      </c>
      <c r="AX153" s="2">
        <v>78.6</v>
      </c>
      <c r="AY153" s="2">
        <v>96.5</v>
      </c>
      <c r="AZ153" s="2">
        <v>82.2</v>
      </c>
      <c r="BA153" s="2">
        <v>84.1</v>
      </c>
      <c r="BB153" s="2">
        <v>85.9</v>
      </c>
      <c r="BC153" s="2">
        <v>95.7</v>
      </c>
      <c r="BD153" s="2">
        <v>96.1</v>
      </c>
      <c r="BE153" s="2">
        <v>96.4</v>
      </c>
      <c r="BF153" s="2">
        <v>97.2</v>
      </c>
      <c r="BG153" s="2">
        <v>97.3</v>
      </c>
      <c r="BH153" s="2">
        <v>97.3</v>
      </c>
      <c r="BI153" s="2">
        <v>97.8</v>
      </c>
      <c r="BJ153" s="2">
        <v>100.0</v>
      </c>
      <c r="BK153" s="2">
        <v>98.1</v>
      </c>
      <c r="BL153" s="2">
        <v>99.6</v>
      </c>
      <c r="BM153" s="2">
        <v>100.0</v>
      </c>
      <c r="BN153" s="2">
        <v>100.0</v>
      </c>
      <c r="BO153" s="2">
        <v>100.0</v>
      </c>
      <c r="BP153" s="2">
        <v>100.0</v>
      </c>
      <c r="BQ153" s="2">
        <v>100.0</v>
      </c>
      <c r="BS153" s="3" t="str">
        <f>VLOOKUP(B153, Metadata!A:B, 2, FALSE)</f>
        <v>Middle East &amp; North Africa</v>
      </c>
    </row>
    <row r="154" hidden="1">
      <c r="A154" s="2" t="s">
        <v>452</v>
      </c>
      <c r="B154" s="2" t="s">
        <v>293</v>
      </c>
      <c r="C154" s="2" t="s">
        <v>4</v>
      </c>
      <c r="D154" s="2" t="s">
        <v>5</v>
      </c>
      <c r="AI154" s="2">
        <v>100.0</v>
      </c>
      <c r="AJ154" s="2">
        <v>100.0</v>
      </c>
      <c r="AK154" s="2">
        <v>100.0</v>
      </c>
      <c r="AL154" s="2">
        <v>100.0</v>
      </c>
      <c r="AM154" s="2">
        <v>100.0</v>
      </c>
      <c r="AN154" s="2">
        <v>100.0</v>
      </c>
      <c r="AO154" s="2">
        <v>100.0</v>
      </c>
      <c r="AP154" s="2">
        <v>100.0</v>
      </c>
      <c r="AQ154" s="2">
        <v>100.0</v>
      </c>
      <c r="AR154" s="2">
        <v>100.0</v>
      </c>
      <c r="AS154" s="2">
        <v>100.0</v>
      </c>
      <c r="AT154" s="2">
        <v>100.0</v>
      </c>
      <c r="AU154" s="2">
        <v>100.0</v>
      </c>
      <c r="AV154" s="2">
        <v>100.0</v>
      </c>
      <c r="AW154" s="2">
        <v>100.0</v>
      </c>
      <c r="AX154" s="2">
        <v>100.0</v>
      </c>
      <c r="AY154" s="2">
        <v>100.0</v>
      </c>
      <c r="AZ154" s="2">
        <v>100.0</v>
      </c>
      <c r="BA154" s="2">
        <v>100.0</v>
      </c>
      <c r="BB154" s="2">
        <v>100.0</v>
      </c>
      <c r="BC154" s="2">
        <v>100.0</v>
      </c>
      <c r="BD154" s="2">
        <v>100.0</v>
      </c>
      <c r="BE154" s="2">
        <v>100.0</v>
      </c>
      <c r="BF154" s="2">
        <v>100.0</v>
      </c>
      <c r="BG154" s="2">
        <v>100.0</v>
      </c>
      <c r="BH154" s="2">
        <v>100.0</v>
      </c>
      <c r="BI154" s="2">
        <v>100.0</v>
      </c>
      <c r="BJ154" s="2">
        <v>100.0</v>
      </c>
      <c r="BK154" s="2">
        <v>100.0</v>
      </c>
      <c r="BL154" s="2">
        <v>100.0</v>
      </c>
      <c r="BM154" s="2">
        <v>100.0</v>
      </c>
      <c r="BN154" s="2">
        <v>100.0</v>
      </c>
      <c r="BO154" s="2">
        <v>100.0</v>
      </c>
      <c r="BP154" s="2">
        <v>100.0</v>
      </c>
      <c r="BQ154" s="2">
        <v>100.0</v>
      </c>
      <c r="BS154" s="3" t="str">
        <f>VLOOKUP(B154, Metadata!A:B, 2, FALSE)</f>
        <v>Europe &amp; Central Asia</v>
      </c>
    </row>
    <row r="155" hidden="1">
      <c r="A155" s="2" t="s">
        <v>453</v>
      </c>
      <c r="B155" s="2" t="s">
        <v>294</v>
      </c>
      <c r="C155" s="2" t="s">
        <v>4</v>
      </c>
      <c r="D155" s="2" t="s">
        <v>5</v>
      </c>
      <c r="AI155" s="2">
        <v>100.0</v>
      </c>
      <c r="AJ155" s="2">
        <v>100.0</v>
      </c>
      <c r="AK155" s="2">
        <v>100.0</v>
      </c>
      <c r="AL155" s="2">
        <v>100.0</v>
      </c>
      <c r="AM155" s="2">
        <v>100.0</v>
      </c>
      <c r="AN155" s="2">
        <v>100.0</v>
      </c>
      <c r="AO155" s="2">
        <v>100.0</v>
      </c>
      <c r="AP155" s="2">
        <v>100.0</v>
      </c>
      <c r="AQ155" s="2">
        <v>100.0</v>
      </c>
      <c r="AR155" s="2">
        <v>100.0</v>
      </c>
      <c r="AS155" s="2">
        <v>98.7</v>
      </c>
      <c r="AT155" s="2">
        <v>98.8</v>
      </c>
      <c r="AU155" s="2">
        <v>99.0</v>
      </c>
      <c r="AV155" s="2">
        <v>98.8</v>
      </c>
      <c r="AW155" s="2">
        <v>99.1</v>
      </c>
      <c r="AX155" s="2">
        <v>98.6</v>
      </c>
      <c r="AY155" s="2">
        <v>98.9</v>
      </c>
      <c r="AZ155" s="2">
        <v>99.0</v>
      </c>
      <c r="BA155" s="2">
        <v>99.1</v>
      </c>
      <c r="BB155" s="2">
        <v>99.2</v>
      </c>
      <c r="BC155" s="2">
        <v>99.3</v>
      </c>
      <c r="BD155" s="2">
        <v>99.4</v>
      </c>
      <c r="BE155" s="2">
        <v>99.5</v>
      </c>
      <c r="BF155" s="2">
        <v>99.6</v>
      </c>
      <c r="BG155" s="2">
        <v>99.8</v>
      </c>
      <c r="BH155" s="2">
        <v>99.9</v>
      </c>
      <c r="BI155" s="2">
        <v>99.9</v>
      </c>
      <c r="BJ155" s="2">
        <v>100.0</v>
      </c>
      <c r="BK155" s="2">
        <v>100.0</v>
      </c>
      <c r="BL155" s="2">
        <v>100.0</v>
      </c>
      <c r="BM155" s="2">
        <v>100.0</v>
      </c>
      <c r="BN155" s="2">
        <v>100.0</v>
      </c>
      <c r="BO155" s="2">
        <v>100.0</v>
      </c>
      <c r="BP155" s="2">
        <v>100.0</v>
      </c>
      <c r="BQ155" s="2">
        <v>100.0</v>
      </c>
      <c r="BS155" s="3" t="str">
        <f>VLOOKUP(B155, Metadata!A:B, 2, FALSE)</f>
        <v>Europe &amp; Central Asia</v>
      </c>
    </row>
    <row r="156">
      <c r="A156" s="2" t="s">
        <v>0</v>
      </c>
      <c r="B156" s="2" t="s">
        <v>2</v>
      </c>
      <c r="C156" s="2" t="s">
        <v>4</v>
      </c>
      <c r="D156" s="2" t="s">
        <v>5</v>
      </c>
      <c r="AK156" s="2">
        <v>9.2</v>
      </c>
      <c r="AL156" s="2">
        <v>10.1056232452393</v>
      </c>
      <c r="AM156" s="2">
        <v>10.5616483688354</v>
      </c>
      <c r="AN156" s="2">
        <v>11.0156345367432</v>
      </c>
      <c r="AO156" s="2">
        <v>11.4669008255005</v>
      </c>
      <c r="AP156" s="2">
        <v>10.9</v>
      </c>
      <c r="AQ156" s="2">
        <v>12.3585548400879</v>
      </c>
      <c r="AR156" s="2">
        <v>12.7975006103516</v>
      </c>
      <c r="AS156" s="2">
        <v>12.6</v>
      </c>
      <c r="AT156" s="2">
        <v>14.8</v>
      </c>
      <c r="AU156" s="2">
        <v>14.0</v>
      </c>
      <c r="AV156" s="2">
        <v>20.3</v>
      </c>
      <c r="AW156" s="2">
        <v>15.3</v>
      </c>
      <c r="AX156" s="2">
        <v>16.0</v>
      </c>
      <c r="AY156" s="2">
        <v>16.8</v>
      </c>
      <c r="AZ156" s="2">
        <v>17.5</v>
      </c>
      <c r="BA156" s="2">
        <v>18.3</v>
      </c>
      <c r="BB156" s="2">
        <v>17.4</v>
      </c>
      <c r="BC156" s="2">
        <v>12.3</v>
      </c>
      <c r="BD156" s="2">
        <v>14.3</v>
      </c>
      <c r="BE156" s="2">
        <v>18.7</v>
      </c>
      <c r="BF156" s="2">
        <v>12.9</v>
      </c>
      <c r="BG156" s="2">
        <v>23.0</v>
      </c>
      <c r="BH156" s="2">
        <v>23.8</v>
      </c>
      <c r="BI156" s="2">
        <v>22.9</v>
      </c>
      <c r="BJ156" s="2">
        <v>24.1</v>
      </c>
      <c r="BK156" s="2">
        <v>36.5</v>
      </c>
      <c r="BL156" s="2">
        <v>31.0</v>
      </c>
      <c r="BM156" s="2">
        <v>32.0</v>
      </c>
      <c r="BN156" s="2">
        <v>35.1</v>
      </c>
      <c r="BO156" s="2">
        <v>36.1</v>
      </c>
      <c r="BP156" s="2">
        <v>39.4</v>
      </c>
      <c r="BQ156" s="2">
        <v>42.5</v>
      </c>
      <c r="BS156" s="3" t="str">
        <f>VLOOKUP(B156, Metadata!A:B, 2, FALSE)</f>
        <v>Sub-Saharan Africa</v>
      </c>
      <c r="BT156" s="3">
        <f>VLOOKUP(B152,Population!A:B,2,FALSE)*(1-BP152/100)</f>
        <v>0</v>
      </c>
    </row>
    <row r="157" hidden="1">
      <c r="A157" s="2" t="s">
        <v>454</v>
      </c>
      <c r="B157" s="2" t="s">
        <v>296</v>
      </c>
      <c r="C157" s="2" t="s">
        <v>4</v>
      </c>
      <c r="D157" s="2" t="s">
        <v>5</v>
      </c>
      <c r="AS157" s="2">
        <v>83.8</v>
      </c>
      <c r="AT157" s="2">
        <v>87.5</v>
      </c>
      <c r="AU157" s="2">
        <v>88.3</v>
      </c>
      <c r="AV157" s="2">
        <v>89.1</v>
      </c>
      <c r="AW157" s="2">
        <v>90.0</v>
      </c>
      <c r="AX157" s="2">
        <v>90.9</v>
      </c>
      <c r="AY157" s="2">
        <v>91.7</v>
      </c>
      <c r="AZ157" s="2">
        <v>92.6</v>
      </c>
      <c r="BA157" s="2">
        <v>93.6</v>
      </c>
      <c r="BB157" s="2">
        <v>99.9</v>
      </c>
      <c r="BC157" s="2">
        <v>99.0</v>
      </c>
      <c r="BD157" s="2">
        <v>99.1</v>
      </c>
      <c r="BE157" s="2">
        <v>99.2</v>
      </c>
      <c r="BF157" s="2">
        <v>99.4</v>
      </c>
      <c r="BG157" s="2">
        <v>100.0</v>
      </c>
      <c r="BH157" s="2">
        <v>99.8</v>
      </c>
      <c r="BI157" s="2">
        <v>100.0</v>
      </c>
      <c r="BJ157" s="2">
        <v>99.8</v>
      </c>
      <c r="BK157" s="2">
        <v>100.0</v>
      </c>
      <c r="BL157" s="2">
        <v>100.0</v>
      </c>
      <c r="BM157" s="2">
        <v>100.0</v>
      </c>
      <c r="BN157" s="2">
        <v>100.0</v>
      </c>
      <c r="BO157" s="2">
        <v>100.0</v>
      </c>
      <c r="BP157" s="2">
        <v>100.0</v>
      </c>
      <c r="BQ157" s="2">
        <v>100.0</v>
      </c>
      <c r="BS157" s="3" t="str">
        <f>VLOOKUP(B157, Metadata!A:B, 2, FALSE)</f>
        <v>South Asia</v>
      </c>
    </row>
    <row r="158" hidden="1">
      <c r="A158" s="2" t="s">
        <v>455</v>
      </c>
      <c r="B158" s="2" t="s">
        <v>297</v>
      </c>
      <c r="C158" s="2" t="s">
        <v>4</v>
      </c>
      <c r="D158" s="2" t="s">
        <v>5</v>
      </c>
      <c r="AS158" s="2">
        <v>82.5699139042888</v>
      </c>
      <c r="AT158" s="2">
        <v>83.2791761702007</v>
      </c>
      <c r="AU158" s="2">
        <v>83.6085979368698</v>
      </c>
      <c r="AV158" s="2">
        <v>84.5846166554136</v>
      </c>
      <c r="AW158" s="2">
        <v>84.9804101170533</v>
      </c>
      <c r="AX158" s="2">
        <v>85.9579036662094</v>
      </c>
      <c r="AY158" s="2">
        <v>87.6565823004563</v>
      </c>
      <c r="AZ158" s="2">
        <v>87.15191140522</v>
      </c>
      <c r="BA158" s="2">
        <v>88.0946609813966</v>
      </c>
      <c r="BB158" s="2">
        <v>88.74034285556</v>
      </c>
      <c r="BC158" s="2">
        <v>90.5608198614909</v>
      </c>
      <c r="BD158" s="2">
        <v>90.7761559347102</v>
      </c>
      <c r="BE158" s="2">
        <v>91.8541213665318</v>
      </c>
      <c r="BF158" s="2">
        <v>93.1479690416445</v>
      </c>
      <c r="BG158" s="2">
        <v>94.0320956677215</v>
      </c>
      <c r="BH158" s="2">
        <v>93.4360655461117</v>
      </c>
      <c r="BI158" s="2">
        <v>95.158764819742</v>
      </c>
      <c r="BJ158" s="2">
        <v>96.0012431691978</v>
      </c>
      <c r="BK158" s="2">
        <v>94.9706861712285</v>
      </c>
      <c r="BL158" s="2">
        <v>96.0087072984601</v>
      </c>
      <c r="BM158" s="2">
        <v>96.2621204422818</v>
      </c>
      <c r="BN158" s="2">
        <v>96.4166690553693</v>
      </c>
      <c r="BO158" s="2">
        <v>95.8637945014964</v>
      </c>
      <c r="BP158" s="2">
        <v>96.4226367435274</v>
      </c>
      <c r="BQ158" s="2">
        <v>96.7736884722286</v>
      </c>
      <c r="BS158" s="3" t="str">
        <f>VLOOKUP(B158, Metadata!A:B, 2, FALSE)</f>
        <v/>
      </c>
    </row>
    <row r="159" hidden="1">
      <c r="A159" s="2" t="s">
        <v>456</v>
      </c>
      <c r="B159" s="2" t="s">
        <v>298</v>
      </c>
      <c r="C159" s="2" t="s">
        <v>4</v>
      </c>
      <c r="D159" s="2" t="s">
        <v>5</v>
      </c>
      <c r="AK159" s="2">
        <v>93.145981</v>
      </c>
      <c r="AL159" s="2">
        <v>95.4484634399414</v>
      </c>
      <c r="AM159" s="2">
        <v>95.238294</v>
      </c>
      <c r="AN159" s="2">
        <v>95.8944625854492</v>
      </c>
      <c r="AO159" s="2">
        <v>96.093624</v>
      </c>
      <c r="AP159" s="2">
        <v>96.3295822143555</v>
      </c>
      <c r="AQ159" s="2">
        <v>96.092755</v>
      </c>
      <c r="AR159" s="2">
        <v>96.7482986450195</v>
      </c>
      <c r="AS159" s="2">
        <v>98.0</v>
      </c>
      <c r="AT159" s="2">
        <v>97.1</v>
      </c>
      <c r="AU159" s="2">
        <v>97.9</v>
      </c>
      <c r="AV159" s="2">
        <v>97.4</v>
      </c>
      <c r="AW159" s="2">
        <v>98.6</v>
      </c>
      <c r="AX159" s="2">
        <v>98.9</v>
      </c>
      <c r="AY159" s="2">
        <v>99.1</v>
      </c>
      <c r="AZ159" s="2">
        <v>97.9</v>
      </c>
      <c r="BA159" s="2">
        <v>98.9</v>
      </c>
      <c r="BB159" s="2">
        <v>98.3</v>
      </c>
      <c r="BC159" s="2">
        <v>99.2</v>
      </c>
      <c r="BD159" s="2">
        <v>99.0</v>
      </c>
      <c r="BE159" s="2">
        <v>99.1</v>
      </c>
      <c r="BF159" s="2">
        <v>99.1</v>
      </c>
      <c r="BG159" s="2">
        <v>99.2</v>
      </c>
      <c r="BH159" s="2">
        <v>99.0</v>
      </c>
      <c r="BI159" s="2">
        <v>99.5</v>
      </c>
      <c r="BJ159" s="2">
        <v>100.0</v>
      </c>
      <c r="BK159" s="2">
        <v>99.5</v>
      </c>
      <c r="BL159" s="2">
        <v>99.6</v>
      </c>
      <c r="BM159" s="2">
        <v>99.4</v>
      </c>
      <c r="BN159" s="2">
        <v>100.0</v>
      </c>
      <c r="BO159" s="2">
        <v>100.0</v>
      </c>
      <c r="BP159" s="2">
        <v>99.7</v>
      </c>
      <c r="BQ159" s="2">
        <v>99.8</v>
      </c>
      <c r="BS159" s="3" t="str">
        <f>VLOOKUP(B159, Metadata!A:B, 2, FALSE)</f>
        <v>Latin America &amp; Caribbean</v>
      </c>
    </row>
    <row r="160" hidden="1">
      <c r="A160" s="2" t="s">
        <v>457</v>
      </c>
      <c r="B160" s="2" t="s">
        <v>299</v>
      </c>
      <c r="C160" s="2" t="s">
        <v>4</v>
      </c>
      <c r="D160" s="2" t="s">
        <v>5</v>
      </c>
      <c r="AR160" s="2">
        <v>68.5242358752702</v>
      </c>
      <c r="AS160" s="2">
        <v>68.6</v>
      </c>
      <c r="AT160" s="2">
        <v>70.1</v>
      </c>
      <c r="AU160" s="2">
        <v>71.5</v>
      </c>
      <c r="AV160" s="2">
        <v>72.9</v>
      </c>
      <c r="AW160" s="2">
        <v>74.3</v>
      </c>
      <c r="AX160" s="2">
        <v>75.7</v>
      </c>
      <c r="AY160" s="2">
        <v>77.2</v>
      </c>
      <c r="AZ160" s="2">
        <v>72.3</v>
      </c>
      <c r="BA160" s="2">
        <v>80.2</v>
      </c>
      <c r="BB160" s="2">
        <v>81.7</v>
      </c>
      <c r="BC160" s="2">
        <v>89.4</v>
      </c>
      <c r="BD160" s="2">
        <v>89.9</v>
      </c>
      <c r="BE160" s="2">
        <v>90.4</v>
      </c>
      <c r="BF160" s="2">
        <v>90.9</v>
      </c>
      <c r="BG160" s="2">
        <v>91.5</v>
      </c>
      <c r="BH160" s="2">
        <v>92.1</v>
      </c>
      <c r="BI160" s="2">
        <v>92.7</v>
      </c>
      <c r="BJ160" s="2">
        <v>93.8</v>
      </c>
      <c r="BK160" s="2">
        <v>95.3</v>
      </c>
      <c r="BL160" s="2">
        <v>96.8</v>
      </c>
      <c r="BM160" s="2">
        <v>98.3</v>
      </c>
      <c r="BN160" s="2">
        <v>99.8</v>
      </c>
      <c r="BO160" s="2">
        <v>100.0</v>
      </c>
      <c r="BP160" s="2">
        <v>100.0</v>
      </c>
      <c r="BQ160" s="2">
        <v>97.2</v>
      </c>
      <c r="BS160" s="3" t="str">
        <f>VLOOKUP(B160, Metadata!A:B, 2, FALSE)</f>
        <v>East Asia &amp; Pacific</v>
      </c>
    </row>
    <row r="161" hidden="1">
      <c r="A161" s="2" t="s">
        <v>458</v>
      </c>
      <c r="B161" s="2" t="s">
        <v>300</v>
      </c>
      <c r="C161" s="2" t="s">
        <v>4</v>
      </c>
      <c r="D161" s="2" t="s">
        <v>5</v>
      </c>
      <c r="AS161" s="2">
        <v>77.2780697166774</v>
      </c>
      <c r="AT161" s="2">
        <v>78.0004397282332</v>
      </c>
      <c r="AU161" s="2">
        <v>78.6092343039253</v>
      </c>
      <c r="AV161" s="2">
        <v>79.7546774378514</v>
      </c>
      <c r="AW161" s="2">
        <v>79.7965470620457</v>
      </c>
      <c r="AX161" s="2">
        <v>80.9491417290175</v>
      </c>
      <c r="AY161" s="2">
        <v>81.72183061819</v>
      </c>
      <c r="AZ161" s="2">
        <v>82.6771542934438</v>
      </c>
      <c r="BA161" s="2">
        <v>83.7730246649828</v>
      </c>
      <c r="BB161" s="2">
        <v>84.2882935656254</v>
      </c>
      <c r="BC161" s="2">
        <v>85.0122491524685</v>
      </c>
      <c r="BD161" s="2">
        <v>86.5181591427215</v>
      </c>
      <c r="BE161" s="2">
        <v>86.8660111839785</v>
      </c>
      <c r="BF161" s="2">
        <v>87.8925900364422</v>
      </c>
      <c r="BG161" s="2">
        <v>88.5002027830649</v>
      </c>
      <c r="BH161" s="2">
        <v>89.6952302950203</v>
      </c>
      <c r="BI161" s="2">
        <v>90.7202018281775</v>
      </c>
      <c r="BJ161" s="2">
        <v>91.7393285084935</v>
      </c>
      <c r="BK161" s="2">
        <v>92.8753397189939</v>
      </c>
      <c r="BL161" s="2">
        <v>93.2550308654154</v>
      </c>
      <c r="BM161" s="2">
        <v>93.6017586619471</v>
      </c>
      <c r="BN161" s="2">
        <v>94.8051776493539</v>
      </c>
      <c r="BO161" s="2">
        <v>94.8234868349066</v>
      </c>
      <c r="BP161" s="2">
        <v>95.1313255374831</v>
      </c>
      <c r="BQ161" s="2">
        <v>95.4429311855908</v>
      </c>
      <c r="BS161" s="3" t="str">
        <f>VLOOKUP(B161, Metadata!A:B, 2, FALSE)</f>
        <v/>
      </c>
    </row>
    <row r="162" hidden="1">
      <c r="A162" s="2" t="s">
        <v>459</v>
      </c>
      <c r="B162" s="2" t="s">
        <v>301</v>
      </c>
      <c r="C162" s="2" t="s">
        <v>4</v>
      </c>
      <c r="D162" s="2" t="s">
        <v>5</v>
      </c>
      <c r="AI162" s="2">
        <v>100.0</v>
      </c>
      <c r="AJ162" s="2">
        <v>100.0</v>
      </c>
      <c r="AK162" s="2">
        <v>100.0</v>
      </c>
      <c r="AL162" s="2">
        <v>100.0</v>
      </c>
      <c r="AM162" s="2">
        <v>100.0</v>
      </c>
      <c r="AN162" s="2">
        <v>100.0</v>
      </c>
      <c r="AO162" s="2">
        <v>100.0</v>
      </c>
      <c r="AP162" s="2">
        <v>100.0</v>
      </c>
      <c r="AQ162" s="2">
        <v>100.0</v>
      </c>
      <c r="AR162" s="2">
        <v>100.0</v>
      </c>
      <c r="AS162" s="2">
        <v>99.0</v>
      </c>
      <c r="AT162" s="2">
        <v>99.0</v>
      </c>
      <c r="AU162" s="2">
        <v>99.0</v>
      </c>
      <c r="AV162" s="2">
        <v>99.0</v>
      </c>
      <c r="AW162" s="2">
        <v>99.4</v>
      </c>
      <c r="AX162" s="2">
        <v>99.1</v>
      </c>
      <c r="AY162" s="2">
        <v>99.0</v>
      </c>
      <c r="AZ162" s="2">
        <v>99.1</v>
      </c>
      <c r="BA162" s="2">
        <v>99.2</v>
      </c>
      <c r="BB162" s="2">
        <v>99.2</v>
      </c>
      <c r="BC162" s="2">
        <v>99.5</v>
      </c>
      <c r="BD162" s="2">
        <v>99.7</v>
      </c>
      <c r="BE162" s="2">
        <v>99.6</v>
      </c>
      <c r="BF162" s="2">
        <v>99.7</v>
      </c>
      <c r="BG162" s="2">
        <v>99.8</v>
      </c>
      <c r="BH162" s="2">
        <v>99.9</v>
      </c>
      <c r="BI162" s="2">
        <v>100.0</v>
      </c>
      <c r="BJ162" s="2">
        <v>100.0</v>
      </c>
      <c r="BK162" s="2">
        <v>99.8</v>
      </c>
      <c r="BL162" s="2">
        <v>100.0</v>
      </c>
      <c r="BM162" s="2">
        <v>100.0</v>
      </c>
      <c r="BN162" s="2">
        <v>100.0</v>
      </c>
      <c r="BO162" s="2">
        <v>100.0</v>
      </c>
      <c r="BP162" s="2">
        <v>100.0</v>
      </c>
      <c r="BQ162" s="2">
        <v>100.0</v>
      </c>
      <c r="BS162" s="3" t="str">
        <f>VLOOKUP(B162, Metadata!A:B, 2, FALSE)</f>
        <v>Europe &amp; Central Asia</v>
      </c>
    </row>
    <row r="163">
      <c r="A163" s="2" t="s">
        <v>24</v>
      </c>
      <c r="B163" s="2" t="s">
        <v>25</v>
      </c>
      <c r="C163" s="2" t="s">
        <v>4</v>
      </c>
      <c r="D163" s="2" t="s">
        <v>5</v>
      </c>
      <c r="AO163" s="2">
        <v>6.2</v>
      </c>
      <c r="AP163" s="2">
        <v>4.28854084014893</v>
      </c>
      <c r="AQ163" s="2">
        <v>6.06686353683472</v>
      </c>
      <c r="AR163" s="2">
        <v>7.84034395217896</v>
      </c>
      <c r="AS163" s="2">
        <v>9.6</v>
      </c>
      <c r="AT163" s="2">
        <v>10.8</v>
      </c>
      <c r="AU163" s="2">
        <v>13.0</v>
      </c>
      <c r="AV163" s="2">
        <v>14.7</v>
      </c>
      <c r="AW163" s="2">
        <v>16.4</v>
      </c>
      <c r="AX163" s="2">
        <v>18.2</v>
      </c>
      <c r="AY163" s="2">
        <v>16.6</v>
      </c>
      <c r="AZ163" s="2">
        <v>21.7</v>
      </c>
      <c r="BA163" s="2">
        <v>23.4</v>
      </c>
      <c r="BB163" s="2">
        <v>24.0</v>
      </c>
      <c r="BC163" s="2">
        <v>27.0</v>
      </c>
      <c r="BD163" s="2">
        <v>28.8</v>
      </c>
      <c r="BE163" s="2">
        <v>25.6</v>
      </c>
      <c r="BF163" s="2">
        <v>32.4</v>
      </c>
      <c r="BG163" s="2">
        <v>34.2</v>
      </c>
      <c r="BH163" s="2">
        <v>37.6</v>
      </c>
      <c r="BI163" s="2">
        <v>38.8</v>
      </c>
      <c r="BJ163" s="2">
        <v>34.8</v>
      </c>
      <c r="BK163" s="2">
        <v>50.9</v>
      </c>
      <c r="BL163" s="2">
        <v>47.9</v>
      </c>
      <c r="BM163" s="2">
        <v>50.6</v>
      </c>
      <c r="BN163" s="2">
        <v>53.4</v>
      </c>
      <c r="BO163" s="2">
        <v>53.0</v>
      </c>
      <c r="BP163" s="2">
        <v>54.5</v>
      </c>
      <c r="BQ163" s="2">
        <v>49.5</v>
      </c>
      <c r="BS163" s="3" t="str">
        <f>VLOOKUP(B163, Metadata!A:B, 2, FALSE)</f>
        <v>Sub-Saharan Africa</v>
      </c>
      <c r="BT163" s="3">
        <f>VLOOKUP(B159,Population!A:B,2,FALSE)*(1-BP159/100)</f>
        <v>389219.277</v>
      </c>
    </row>
    <row r="164" hidden="1">
      <c r="A164" s="2" t="s">
        <v>460</v>
      </c>
      <c r="B164" s="2" t="s">
        <v>302</v>
      </c>
      <c r="C164" s="2" t="s">
        <v>4</v>
      </c>
      <c r="D164" s="2" t="s">
        <v>5</v>
      </c>
      <c r="AI164" s="2">
        <v>100.0</v>
      </c>
      <c r="AJ164" s="2">
        <v>100.0</v>
      </c>
      <c r="AK164" s="2">
        <v>100.0</v>
      </c>
      <c r="AL164" s="2">
        <v>100.0</v>
      </c>
      <c r="AM164" s="2">
        <v>100.0</v>
      </c>
      <c r="AN164" s="2">
        <v>100.0</v>
      </c>
      <c r="AO164" s="2">
        <v>100.0</v>
      </c>
      <c r="AP164" s="2">
        <v>100.0</v>
      </c>
      <c r="AQ164" s="2">
        <v>100.0</v>
      </c>
      <c r="AR164" s="2">
        <v>100.0</v>
      </c>
      <c r="AS164" s="2">
        <v>100.0</v>
      </c>
      <c r="AT164" s="2">
        <v>100.0</v>
      </c>
      <c r="AU164" s="2">
        <v>100.0</v>
      </c>
      <c r="AV164" s="2">
        <v>100.0</v>
      </c>
      <c r="AW164" s="2">
        <v>100.0</v>
      </c>
      <c r="AX164" s="2">
        <v>100.0</v>
      </c>
      <c r="AY164" s="2">
        <v>100.0</v>
      </c>
      <c r="AZ164" s="2">
        <v>100.0</v>
      </c>
      <c r="BA164" s="2">
        <v>100.0</v>
      </c>
      <c r="BB164" s="2">
        <v>100.0</v>
      </c>
      <c r="BC164" s="2">
        <v>100.0</v>
      </c>
      <c r="BD164" s="2">
        <v>100.0</v>
      </c>
      <c r="BE164" s="2">
        <v>100.0</v>
      </c>
      <c r="BF164" s="2">
        <v>100.0</v>
      </c>
      <c r="BG164" s="2">
        <v>100.0</v>
      </c>
      <c r="BH164" s="2">
        <v>100.0</v>
      </c>
      <c r="BI164" s="2">
        <v>100.0</v>
      </c>
      <c r="BJ164" s="2">
        <v>100.0</v>
      </c>
      <c r="BK164" s="2">
        <v>100.0</v>
      </c>
      <c r="BL164" s="2">
        <v>100.0</v>
      </c>
      <c r="BM164" s="2">
        <v>100.0</v>
      </c>
      <c r="BN164" s="2">
        <v>100.0</v>
      </c>
      <c r="BO164" s="2">
        <v>100.0</v>
      </c>
      <c r="BP164" s="2">
        <v>100.0</v>
      </c>
      <c r="BQ164" s="2">
        <v>100.0</v>
      </c>
      <c r="BS164" s="3" t="str">
        <f>VLOOKUP(B164, Metadata!A:B, 2, FALSE)</f>
        <v>Middle East &amp; North Africa</v>
      </c>
    </row>
    <row r="165" hidden="1">
      <c r="A165" s="2" t="s">
        <v>461</v>
      </c>
      <c r="B165" s="2" t="s">
        <v>303</v>
      </c>
      <c r="C165" s="2" t="s">
        <v>4</v>
      </c>
      <c r="D165" s="2" t="s">
        <v>5</v>
      </c>
      <c r="AS165" s="2">
        <v>41.9</v>
      </c>
      <c r="AT165" s="2">
        <v>43.0</v>
      </c>
      <c r="AU165" s="2">
        <v>47.0</v>
      </c>
      <c r="AV165" s="2">
        <v>45.1</v>
      </c>
      <c r="AW165" s="2">
        <v>46.2</v>
      </c>
      <c r="AX165" s="2">
        <v>47.3</v>
      </c>
      <c r="AY165" s="2">
        <v>48.4</v>
      </c>
      <c r="AZ165" s="2">
        <v>49.5</v>
      </c>
      <c r="BA165" s="2">
        <v>50.6</v>
      </c>
      <c r="BB165" s="2">
        <v>51.8</v>
      </c>
      <c r="BC165" s="2">
        <v>48.8</v>
      </c>
      <c r="BD165" s="2">
        <v>54.1</v>
      </c>
      <c r="BE165" s="2">
        <v>55.3</v>
      </c>
      <c r="BF165" s="2">
        <v>56.5</v>
      </c>
      <c r="BG165" s="2">
        <v>52.0</v>
      </c>
      <c r="BH165" s="2">
        <v>60.5</v>
      </c>
      <c r="BI165" s="2">
        <v>55.6</v>
      </c>
      <c r="BJ165" s="2">
        <v>69.8</v>
      </c>
      <c r="BK165" s="2">
        <v>66.1</v>
      </c>
      <c r="BL165" s="2">
        <v>68.3</v>
      </c>
      <c r="BM165" s="2">
        <v>70.4</v>
      </c>
      <c r="BN165" s="2">
        <v>72.5</v>
      </c>
      <c r="BO165" s="2">
        <v>73.7</v>
      </c>
      <c r="BP165" s="2">
        <v>76.8</v>
      </c>
      <c r="BQ165" s="2">
        <v>80.4</v>
      </c>
      <c r="BS165" s="3" t="str">
        <f>VLOOKUP(B165, Metadata!A:B, 2, FALSE)</f>
        <v>East Asia &amp; Pacific</v>
      </c>
    </row>
    <row r="166" hidden="1">
      <c r="A166" s="2" t="s">
        <v>462</v>
      </c>
      <c r="B166" s="2" t="s">
        <v>304</v>
      </c>
      <c r="C166" s="2" t="s">
        <v>4</v>
      </c>
      <c r="D166" s="2" t="s">
        <v>5</v>
      </c>
      <c r="AS166" s="2">
        <v>81.3700939457665</v>
      </c>
      <c r="AT166" s="2">
        <v>82.1041626354686</v>
      </c>
      <c r="AU166" s="2">
        <v>82.4339201108434</v>
      </c>
      <c r="AV166" s="2">
        <v>83.4603130572668</v>
      </c>
      <c r="AW166" s="2">
        <v>83.867411215778</v>
      </c>
      <c r="AX166" s="2">
        <v>84.9004337403584</v>
      </c>
      <c r="AY166" s="2">
        <v>86.7067349035165</v>
      </c>
      <c r="AZ166" s="2">
        <v>86.1326479228012</v>
      </c>
      <c r="BA166" s="2">
        <v>87.1227921210742</v>
      </c>
      <c r="BB166" s="2">
        <v>87.8019637831564</v>
      </c>
      <c r="BC166" s="2">
        <v>89.7853987089534</v>
      </c>
      <c r="BD166" s="2">
        <v>90.0032683061914</v>
      </c>
      <c r="BE166" s="2">
        <v>91.1539591115329</v>
      </c>
      <c r="BF166" s="2">
        <v>92.5410186202545</v>
      </c>
      <c r="BG166" s="2">
        <v>93.4955408707138</v>
      </c>
      <c r="BH166" s="2">
        <v>92.8277634911895</v>
      </c>
      <c r="BI166" s="2">
        <v>94.7049071241041</v>
      </c>
      <c r="BJ166" s="2">
        <v>95.6230221837644</v>
      </c>
      <c r="BK166" s="2">
        <v>94.5093636648155</v>
      </c>
      <c r="BL166" s="2">
        <v>95.6437471934695</v>
      </c>
      <c r="BM166" s="2">
        <v>95.9173702775193</v>
      </c>
      <c r="BN166" s="2">
        <v>96.0956018888668</v>
      </c>
      <c r="BO166" s="2">
        <v>95.483714372763</v>
      </c>
      <c r="BP166" s="2">
        <v>96.0854287468734</v>
      </c>
      <c r="BQ166" s="2">
        <v>96.4627415717196</v>
      </c>
      <c r="BS166" s="3" t="str">
        <f>VLOOKUP(B166, Metadata!A:B, 2, FALSE)</f>
        <v/>
      </c>
    </row>
    <row r="167" hidden="1">
      <c r="A167" s="2" t="s">
        <v>463</v>
      </c>
      <c r="B167" s="2" t="s">
        <v>305</v>
      </c>
      <c r="C167" s="2" t="s">
        <v>4</v>
      </c>
      <c r="D167" s="2" t="s">
        <v>5</v>
      </c>
      <c r="AI167" s="2">
        <v>100.0</v>
      </c>
      <c r="AJ167" s="2">
        <v>100.0</v>
      </c>
      <c r="AK167" s="2">
        <v>100.0</v>
      </c>
      <c r="AL167" s="2">
        <v>100.0</v>
      </c>
      <c r="AM167" s="2">
        <v>100.0</v>
      </c>
      <c r="AN167" s="2">
        <v>100.0</v>
      </c>
      <c r="AO167" s="2">
        <v>100.0</v>
      </c>
      <c r="AP167" s="2">
        <v>100.0</v>
      </c>
      <c r="AQ167" s="2">
        <v>100.0</v>
      </c>
      <c r="AR167" s="2">
        <v>100.0</v>
      </c>
      <c r="AS167" s="2">
        <v>99.1</v>
      </c>
      <c r="AT167" s="2">
        <v>99.1</v>
      </c>
      <c r="AU167" s="2">
        <v>99.0</v>
      </c>
      <c r="AV167" s="2">
        <v>99.0</v>
      </c>
      <c r="AW167" s="2">
        <v>99.0</v>
      </c>
      <c r="AX167" s="2">
        <v>99.8</v>
      </c>
      <c r="AY167" s="2">
        <v>99.0</v>
      </c>
      <c r="AZ167" s="2">
        <v>99.0</v>
      </c>
      <c r="BA167" s="2">
        <v>99.0</v>
      </c>
      <c r="BB167" s="2">
        <v>99.1</v>
      </c>
      <c r="BC167" s="2">
        <v>99.2</v>
      </c>
      <c r="BD167" s="2">
        <v>99.0</v>
      </c>
      <c r="BE167" s="2">
        <v>99.3</v>
      </c>
      <c r="BF167" s="2">
        <v>99.7</v>
      </c>
      <c r="BG167" s="2">
        <v>97.7</v>
      </c>
      <c r="BH167" s="2">
        <v>99.5</v>
      </c>
      <c r="BI167" s="2">
        <v>99.6</v>
      </c>
      <c r="BJ167" s="2">
        <v>100.0</v>
      </c>
      <c r="BK167" s="2">
        <v>100.0</v>
      </c>
      <c r="BL167" s="2">
        <v>100.0</v>
      </c>
      <c r="BM167" s="2">
        <v>99.9</v>
      </c>
      <c r="BN167" s="2">
        <v>99.8</v>
      </c>
      <c r="BO167" s="2">
        <v>100.0</v>
      </c>
      <c r="BP167" s="2">
        <v>100.0</v>
      </c>
      <c r="BQ167" s="2">
        <v>100.0</v>
      </c>
      <c r="BS167" s="3" t="str">
        <f>VLOOKUP(B167, Metadata!A:B, 2, FALSE)</f>
        <v>Europe &amp; Central Asia</v>
      </c>
    </row>
    <row r="168" hidden="1">
      <c r="A168" s="2" t="s">
        <v>464</v>
      </c>
      <c r="B168" s="2" t="s">
        <v>306</v>
      </c>
      <c r="C168" s="2" t="s">
        <v>4</v>
      </c>
      <c r="D168" s="2" t="s">
        <v>5</v>
      </c>
      <c r="AS168" s="2">
        <v>67.3</v>
      </c>
      <c r="AT168" s="2">
        <v>71.7</v>
      </c>
      <c r="AU168" s="2">
        <v>72.8</v>
      </c>
      <c r="AV168" s="2">
        <v>76.3</v>
      </c>
      <c r="AW168" s="2">
        <v>74.8</v>
      </c>
      <c r="AX168" s="2">
        <v>86.2</v>
      </c>
      <c r="AY168" s="2">
        <v>77.0</v>
      </c>
      <c r="AZ168" s="2">
        <v>78.1</v>
      </c>
      <c r="BA168" s="2">
        <v>79.2</v>
      </c>
      <c r="BB168" s="2">
        <v>80.3</v>
      </c>
      <c r="BC168" s="2">
        <v>78.5</v>
      </c>
      <c r="BD168" s="2">
        <v>72.1</v>
      </c>
      <c r="BE168" s="2">
        <v>83.7</v>
      </c>
      <c r="BF168" s="2">
        <v>81.2</v>
      </c>
      <c r="BG168" s="2">
        <v>86.0</v>
      </c>
      <c r="BH168" s="2">
        <v>88.0</v>
      </c>
      <c r="BI168" s="2">
        <v>90.8</v>
      </c>
      <c r="BJ168" s="2">
        <v>93.6</v>
      </c>
      <c r="BK168" s="2">
        <v>98.1</v>
      </c>
      <c r="BL168" s="2">
        <v>98.9</v>
      </c>
      <c r="BM168" s="2">
        <v>99.5</v>
      </c>
      <c r="BN168" s="2">
        <v>100.0</v>
      </c>
      <c r="BO168" s="2">
        <v>100.0</v>
      </c>
      <c r="BP168" s="2">
        <v>100.0</v>
      </c>
      <c r="BQ168" s="2">
        <v>99.1</v>
      </c>
      <c r="BS168" s="3" t="str">
        <f>VLOOKUP(B168, Metadata!A:B, 2, FALSE)</f>
        <v>East Asia &amp; Pacific</v>
      </c>
    </row>
    <row r="169" hidden="1">
      <c r="A169" s="2" t="s">
        <v>465</v>
      </c>
      <c r="B169" s="2" t="s">
        <v>307</v>
      </c>
      <c r="C169" s="2" t="s">
        <v>4</v>
      </c>
      <c r="D169" s="2" t="s">
        <v>5</v>
      </c>
      <c r="AI169" s="2">
        <v>99.8532638549805</v>
      </c>
      <c r="AJ169" s="2">
        <v>99.8843765258789</v>
      </c>
      <c r="AK169" s="2">
        <v>99.9150314331055</v>
      </c>
      <c r="AL169" s="2">
        <v>99.9449234008789</v>
      </c>
      <c r="AM169" s="2">
        <v>99.9716415405273</v>
      </c>
      <c r="AN169" s="2">
        <v>100.0</v>
      </c>
      <c r="AO169" s="2">
        <v>100.0</v>
      </c>
      <c r="AP169" s="2">
        <v>100.0</v>
      </c>
      <c r="AQ169" s="2">
        <v>100.0</v>
      </c>
      <c r="AR169" s="2">
        <v>100.0</v>
      </c>
      <c r="AS169" s="2">
        <v>100.0</v>
      </c>
      <c r="AT169" s="2">
        <v>100.0</v>
      </c>
      <c r="AU169" s="2">
        <v>99.9</v>
      </c>
      <c r="AV169" s="2">
        <v>99.9</v>
      </c>
      <c r="AW169" s="2">
        <v>99.8</v>
      </c>
      <c r="AX169" s="2">
        <v>99.8</v>
      </c>
      <c r="AY169" s="2">
        <v>99.7</v>
      </c>
      <c r="AZ169" s="2">
        <v>100.0</v>
      </c>
      <c r="BA169" s="2">
        <v>100.0</v>
      </c>
      <c r="BB169" s="2">
        <v>100.0</v>
      </c>
      <c r="BC169" s="2">
        <v>100.0</v>
      </c>
      <c r="BD169" s="2">
        <v>100.0</v>
      </c>
      <c r="BE169" s="2">
        <v>100.0</v>
      </c>
      <c r="BF169" s="2">
        <v>100.0</v>
      </c>
      <c r="BG169" s="2">
        <v>100.0</v>
      </c>
      <c r="BH169" s="2">
        <v>100.0</v>
      </c>
      <c r="BI169" s="2">
        <v>100.0</v>
      </c>
      <c r="BJ169" s="2">
        <v>100.0</v>
      </c>
      <c r="BK169" s="2">
        <v>100.0</v>
      </c>
      <c r="BL169" s="2">
        <v>100.0</v>
      </c>
      <c r="BM169" s="2">
        <v>100.0</v>
      </c>
      <c r="BN169" s="2">
        <v>100.0</v>
      </c>
      <c r="BO169" s="2">
        <v>100.0</v>
      </c>
      <c r="BP169" s="2">
        <v>100.0</v>
      </c>
      <c r="BQ169" s="2">
        <v>100.0</v>
      </c>
      <c r="BS169" s="3" t="str">
        <f>VLOOKUP(B169, Metadata!A:B, 2, FALSE)</f>
        <v>East Asia &amp; Pacific</v>
      </c>
    </row>
    <row r="170">
      <c r="A170" s="2" t="s">
        <v>54</v>
      </c>
      <c r="B170" s="2" t="s">
        <v>55</v>
      </c>
      <c r="C170" s="2" t="s">
        <v>4</v>
      </c>
      <c r="D170" s="2" t="s">
        <v>5</v>
      </c>
      <c r="AP170" s="2">
        <v>6.6</v>
      </c>
      <c r="AQ170" s="2">
        <v>3.66317558288574</v>
      </c>
      <c r="AR170" s="2">
        <v>4.87912368774414</v>
      </c>
      <c r="AS170" s="2">
        <v>6.1</v>
      </c>
      <c r="AT170" s="2">
        <v>5.7</v>
      </c>
      <c r="AU170" s="2">
        <v>8.4</v>
      </c>
      <c r="AV170" s="2">
        <v>8.1</v>
      </c>
      <c r="AW170" s="2">
        <v>10.7</v>
      </c>
      <c r="AX170" s="2">
        <v>11.8</v>
      </c>
      <c r="AY170" s="2">
        <v>13.0</v>
      </c>
      <c r="AZ170" s="2">
        <v>12.4</v>
      </c>
      <c r="BA170" s="2">
        <v>13.6</v>
      </c>
      <c r="BB170" s="2">
        <v>15.0</v>
      </c>
      <c r="BC170" s="2">
        <v>18.9</v>
      </c>
      <c r="BD170" s="2">
        <v>20.2</v>
      </c>
      <c r="BE170" s="2">
        <v>21.2</v>
      </c>
      <c r="BF170" s="2">
        <v>22.4</v>
      </c>
      <c r="BG170" s="2">
        <v>24.8</v>
      </c>
      <c r="BH170" s="2">
        <v>24.0</v>
      </c>
      <c r="BI170" s="2">
        <v>26.2</v>
      </c>
      <c r="BJ170" s="2">
        <v>24.3</v>
      </c>
      <c r="BK170" s="2">
        <v>31.1</v>
      </c>
      <c r="BL170" s="2">
        <v>29.7</v>
      </c>
      <c r="BM170" s="2">
        <v>30.6</v>
      </c>
      <c r="BN170" s="2">
        <v>31.5</v>
      </c>
      <c r="BO170" s="2">
        <v>33.2</v>
      </c>
      <c r="BP170" s="2">
        <v>36.0</v>
      </c>
      <c r="BQ170" s="2">
        <v>36.9</v>
      </c>
      <c r="BS170" s="3" t="str">
        <f>VLOOKUP(B170, Metadata!A:B, 2, FALSE)</f>
        <v>Sub-Saharan Africa</v>
      </c>
      <c r="BT170" s="3">
        <f>VLOOKUP(B166,Population!A:B,2,FALSE)*(1-BP166/100)</f>
        <v>28540256.07</v>
      </c>
    </row>
    <row r="171">
      <c r="A171" s="2" t="s">
        <v>176</v>
      </c>
      <c r="B171" s="2" t="s">
        <v>177</v>
      </c>
      <c r="C171" s="2" t="s">
        <v>4</v>
      </c>
      <c r="D171" s="2" t="s">
        <v>5</v>
      </c>
      <c r="AS171" s="2">
        <v>19.1</v>
      </c>
      <c r="AT171" s="2">
        <v>22.2</v>
      </c>
      <c r="AU171" s="2">
        <v>21.7</v>
      </c>
      <c r="AV171" s="2">
        <v>23.0</v>
      </c>
      <c r="AW171" s="2">
        <v>24.3</v>
      </c>
      <c r="AX171" s="2">
        <v>18.2</v>
      </c>
      <c r="AY171" s="2">
        <v>27.0</v>
      </c>
      <c r="AZ171" s="2">
        <v>33.0</v>
      </c>
      <c r="BA171" s="2">
        <v>30.0</v>
      </c>
      <c r="BB171" s="2">
        <v>31.1</v>
      </c>
      <c r="BC171" s="2">
        <v>34.2</v>
      </c>
      <c r="BD171" s="2">
        <v>35.3</v>
      </c>
      <c r="BE171" s="2">
        <v>36.4</v>
      </c>
      <c r="BF171" s="2">
        <v>37.6</v>
      </c>
      <c r="BG171" s="2">
        <v>38.8</v>
      </c>
      <c r="BH171" s="2">
        <v>39.5</v>
      </c>
      <c r="BI171" s="2">
        <v>41.2</v>
      </c>
      <c r="BJ171" s="2">
        <v>42.9</v>
      </c>
      <c r="BK171" s="2">
        <v>43.6</v>
      </c>
      <c r="BL171" s="2">
        <v>44.9</v>
      </c>
      <c r="BM171" s="2">
        <v>45.4</v>
      </c>
      <c r="BN171" s="2">
        <v>47.7</v>
      </c>
      <c r="BO171" s="2">
        <v>49.0</v>
      </c>
      <c r="BP171" s="2">
        <v>50.3</v>
      </c>
      <c r="BQ171" s="2">
        <v>52.2</v>
      </c>
      <c r="BS171" s="3" t="str">
        <f>VLOOKUP(B171, Metadata!A:B, 2, FALSE)</f>
        <v>Sub-Saharan Africa</v>
      </c>
      <c r="BT171" s="3">
        <f>VLOOKUP(B167,Population!A:B,2,FALSE)*(1-BP167/100)</f>
        <v>0</v>
      </c>
    </row>
    <row r="172">
      <c r="A172" s="2" t="s">
        <v>30</v>
      </c>
      <c r="B172" s="2" t="s">
        <v>31</v>
      </c>
      <c r="C172" s="2" t="s">
        <v>4</v>
      </c>
      <c r="D172" s="2" t="s">
        <v>5</v>
      </c>
      <c r="AI172" s="2">
        <v>99.0415649414063</v>
      </c>
      <c r="AJ172" s="2">
        <v>99.0706787109375</v>
      </c>
      <c r="AK172" s="2">
        <v>99.0996780395508</v>
      </c>
      <c r="AL172" s="2">
        <v>99.1280059814453</v>
      </c>
      <c r="AM172" s="2">
        <v>99.1549682617188</v>
      </c>
      <c r="AN172" s="2">
        <v>99.1798858642578</v>
      </c>
      <c r="AO172" s="2">
        <v>99.2020950317383</v>
      </c>
      <c r="AP172" s="2">
        <v>99.2208938598633</v>
      </c>
      <c r="AQ172" s="2">
        <v>99.2356185913086</v>
      </c>
      <c r="AR172" s="2">
        <v>99.2455062866211</v>
      </c>
      <c r="AS172" s="2">
        <v>99.0</v>
      </c>
      <c r="AT172" s="2">
        <v>99.2</v>
      </c>
      <c r="AU172" s="2">
        <v>99.4</v>
      </c>
      <c r="AV172" s="2">
        <v>99.1</v>
      </c>
      <c r="AW172" s="2">
        <v>99.0</v>
      </c>
      <c r="AX172" s="2">
        <v>99.0</v>
      </c>
      <c r="AY172" s="2">
        <v>99.0</v>
      </c>
      <c r="AZ172" s="2">
        <v>99.0</v>
      </c>
      <c r="BA172" s="2">
        <v>99.0</v>
      </c>
      <c r="BB172" s="2">
        <v>99.0</v>
      </c>
      <c r="BC172" s="2">
        <v>99.4</v>
      </c>
      <c r="BD172" s="2">
        <v>99.6</v>
      </c>
      <c r="BE172" s="2">
        <v>99.4</v>
      </c>
      <c r="BF172" s="2">
        <v>99.4</v>
      </c>
      <c r="BG172" s="2">
        <v>99.5</v>
      </c>
      <c r="BH172" s="2">
        <v>99.6</v>
      </c>
      <c r="BI172" s="2">
        <v>99.7</v>
      </c>
      <c r="BJ172" s="2">
        <v>99.6</v>
      </c>
      <c r="BK172" s="2">
        <v>99.8</v>
      </c>
      <c r="BL172" s="2">
        <v>100.0</v>
      </c>
      <c r="BM172" s="2">
        <v>99.5</v>
      </c>
      <c r="BN172" s="2">
        <v>99.6</v>
      </c>
      <c r="BO172" s="2">
        <v>100.0</v>
      </c>
      <c r="BP172" s="2">
        <v>100.0</v>
      </c>
      <c r="BQ172" s="2">
        <v>100.0</v>
      </c>
      <c r="BS172" s="3" t="str">
        <f>VLOOKUP(B172, Metadata!A:B, 2, FALSE)</f>
        <v>Sub-Saharan Africa</v>
      </c>
      <c r="BT172" s="3">
        <f>VLOOKUP(B168,Population!A:B,2,FALSE)*(1-BP168/100)</f>
        <v>0</v>
      </c>
    </row>
    <row r="173">
      <c r="A173" s="2" t="s">
        <v>42</v>
      </c>
      <c r="B173" s="2" t="s">
        <v>43</v>
      </c>
      <c r="C173" s="2" t="s">
        <v>4</v>
      </c>
      <c r="D173" s="2" t="s">
        <v>5</v>
      </c>
      <c r="AK173" s="2">
        <v>3.2</v>
      </c>
      <c r="AL173" s="2">
        <v>1.55355584621429</v>
      </c>
      <c r="AM173" s="2">
        <v>2.01366138458252</v>
      </c>
      <c r="AN173" s="2">
        <v>2.47172713279724</v>
      </c>
      <c r="AO173" s="2">
        <v>2.92707347869873</v>
      </c>
      <c r="AP173" s="2">
        <v>3.37902021408081</v>
      </c>
      <c r="AQ173" s="2">
        <v>3.82688760757446</v>
      </c>
      <c r="AR173" s="2">
        <v>4.26991271972656</v>
      </c>
      <c r="AS173" s="2">
        <v>4.8</v>
      </c>
      <c r="AT173" s="2">
        <v>5.2</v>
      </c>
      <c r="AU173" s="2">
        <v>5.6</v>
      </c>
      <c r="AV173" s="2">
        <v>6.2</v>
      </c>
      <c r="AW173" s="2">
        <v>6.9</v>
      </c>
      <c r="AX173" s="2">
        <v>6.6</v>
      </c>
      <c r="AY173" s="2">
        <v>3.7</v>
      </c>
      <c r="AZ173" s="2">
        <v>7.4</v>
      </c>
      <c r="BA173" s="2">
        <v>7.8</v>
      </c>
      <c r="BB173" s="2">
        <v>8.3</v>
      </c>
      <c r="BC173" s="2">
        <v>8.7</v>
      </c>
      <c r="BD173" s="2">
        <v>7.6</v>
      </c>
      <c r="BE173" s="2">
        <v>7.4</v>
      </c>
      <c r="BF173" s="2">
        <v>9.0</v>
      </c>
      <c r="BG173" s="2">
        <v>11.9</v>
      </c>
      <c r="BH173" s="2">
        <v>10.8</v>
      </c>
      <c r="BI173" s="2">
        <v>11.0</v>
      </c>
      <c r="BJ173" s="2">
        <v>12.7</v>
      </c>
      <c r="BK173" s="2">
        <v>18.0</v>
      </c>
      <c r="BL173" s="2">
        <v>11.2</v>
      </c>
      <c r="BM173" s="2">
        <v>11.5</v>
      </c>
      <c r="BN173" s="2">
        <v>14.2</v>
      </c>
      <c r="BO173" s="2">
        <v>14.0</v>
      </c>
      <c r="BP173" s="2">
        <v>15.6</v>
      </c>
      <c r="BQ173" s="2">
        <v>15.6</v>
      </c>
      <c r="BS173" s="3" t="str">
        <f>VLOOKUP(B173, Metadata!A:B, 2, FALSE)</f>
        <v>Sub-Saharan Africa</v>
      </c>
      <c r="BT173" s="3">
        <f>VLOOKUP(B169,Population!A:B,2,FALSE)*(1-BP169/100)</f>
        <v>0</v>
      </c>
    </row>
    <row r="174" hidden="1">
      <c r="A174" s="2" t="s">
        <v>466</v>
      </c>
      <c r="B174" s="2" t="s">
        <v>308</v>
      </c>
      <c r="C174" s="2" t="s">
        <v>4</v>
      </c>
      <c r="D174" s="2" t="s">
        <v>5</v>
      </c>
      <c r="AS174" s="2">
        <v>98.6</v>
      </c>
      <c r="AT174" s="2">
        <v>98.6</v>
      </c>
      <c r="AU174" s="2">
        <v>98.6</v>
      </c>
      <c r="AV174" s="2">
        <v>98.7</v>
      </c>
      <c r="AW174" s="2">
        <v>98.7</v>
      </c>
      <c r="AX174" s="2">
        <v>98.7</v>
      </c>
      <c r="AY174" s="2">
        <v>98.8</v>
      </c>
      <c r="AZ174" s="2">
        <v>98.9</v>
      </c>
      <c r="BA174" s="2">
        <v>99.0</v>
      </c>
      <c r="BB174" s="2">
        <v>99.3</v>
      </c>
      <c r="BC174" s="2">
        <v>99.5</v>
      </c>
      <c r="BD174" s="2">
        <v>99.5</v>
      </c>
      <c r="BE174" s="2">
        <v>99.8</v>
      </c>
      <c r="BF174" s="2">
        <v>99.6</v>
      </c>
      <c r="BG174" s="2">
        <v>99.7</v>
      </c>
      <c r="BH174" s="2">
        <v>99.9</v>
      </c>
      <c r="BI174" s="2">
        <v>99.9</v>
      </c>
      <c r="BJ174" s="2">
        <v>100.0</v>
      </c>
      <c r="BK174" s="2">
        <v>100.0</v>
      </c>
      <c r="BL174" s="2">
        <v>100.0</v>
      </c>
      <c r="BM174" s="2">
        <v>100.0</v>
      </c>
      <c r="BN174" s="2">
        <v>100.0</v>
      </c>
      <c r="BO174" s="2">
        <v>100.0</v>
      </c>
      <c r="BP174" s="2">
        <v>100.0</v>
      </c>
      <c r="BQ174" s="2">
        <v>100.0</v>
      </c>
      <c r="BS174" s="3" t="str">
        <f>VLOOKUP(B174, Metadata!A:B, 2, FALSE)</f>
        <v>East Asia &amp; Pacific</v>
      </c>
    </row>
    <row r="175" hidden="1">
      <c r="A175" s="2" t="s">
        <v>444</v>
      </c>
      <c r="B175" s="2" t="s">
        <v>309</v>
      </c>
      <c r="C175" s="2" t="s">
        <v>4</v>
      </c>
      <c r="D175" s="2" t="s">
        <v>5</v>
      </c>
      <c r="AI175" s="2">
        <v>100.0</v>
      </c>
      <c r="AJ175" s="2">
        <v>100.0</v>
      </c>
      <c r="AK175" s="2">
        <v>100.0</v>
      </c>
      <c r="AL175" s="2">
        <v>100.0</v>
      </c>
      <c r="AM175" s="2">
        <v>100.0</v>
      </c>
      <c r="AN175" s="2">
        <v>100.0</v>
      </c>
      <c r="AO175" s="2">
        <v>100.0</v>
      </c>
      <c r="AP175" s="2">
        <v>100.0</v>
      </c>
      <c r="AQ175" s="2">
        <v>100.0</v>
      </c>
      <c r="AR175" s="2">
        <v>100.0</v>
      </c>
      <c r="AS175" s="2">
        <v>100.0</v>
      </c>
      <c r="AT175" s="2">
        <v>100.0</v>
      </c>
      <c r="AU175" s="2">
        <v>100.0</v>
      </c>
      <c r="AV175" s="2">
        <v>100.0</v>
      </c>
      <c r="AW175" s="2">
        <v>100.0</v>
      </c>
      <c r="AX175" s="2">
        <v>100.0</v>
      </c>
      <c r="AY175" s="2">
        <v>100.0</v>
      </c>
      <c r="AZ175" s="2">
        <v>100.0</v>
      </c>
      <c r="BA175" s="2">
        <v>100.0</v>
      </c>
      <c r="BB175" s="2">
        <v>100.0</v>
      </c>
      <c r="BC175" s="2">
        <v>100.0</v>
      </c>
      <c r="BD175" s="2">
        <v>100.0</v>
      </c>
      <c r="BE175" s="2">
        <v>100.0</v>
      </c>
      <c r="BF175" s="2">
        <v>100.0</v>
      </c>
      <c r="BG175" s="2">
        <v>100.0</v>
      </c>
      <c r="BH175" s="2">
        <v>100.0</v>
      </c>
      <c r="BI175" s="2">
        <v>100.0</v>
      </c>
      <c r="BJ175" s="2">
        <v>100.0</v>
      </c>
      <c r="BK175" s="2">
        <v>100.0</v>
      </c>
      <c r="BL175" s="2">
        <v>100.0</v>
      </c>
      <c r="BM175" s="2">
        <v>100.0</v>
      </c>
      <c r="BN175" s="2">
        <v>100.0</v>
      </c>
      <c r="BO175" s="2">
        <v>100.0</v>
      </c>
      <c r="BP175" s="2">
        <v>100.0</v>
      </c>
      <c r="BQ175" s="2">
        <v>100.0</v>
      </c>
      <c r="BS175" s="3" t="str">
        <f>VLOOKUP(B175, Metadata!A:B, 2, FALSE)</f>
        <v/>
      </c>
    </row>
    <row r="176">
      <c r="A176" s="2" t="s">
        <v>72</v>
      </c>
      <c r="B176" s="2" t="s">
        <v>73</v>
      </c>
      <c r="C176" s="2" t="s">
        <v>4</v>
      </c>
      <c r="D176" s="2" t="s">
        <v>5</v>
      </c>
      <c r="AK176" s="2">
        <v>26.4</v>
      </c>
      <c r="AL176" s="2">
        <v>27.0</v>
      </c>
      <c r="AM176" s="2">
        <v>28.9325885772705</v>
      </c>
      <c r="AN176" s="2">
        <v>29.9521484375</v>
      </c>
      <c r="AO176" s="2">
        <v>30.9689884185791</v>
      </c>
      <c r="AP176" s="2">
        <v>31.9824295043945</v>
      </c>
      <c r="AQ176" s="2">
        <v>32.9917907714844</v>
      </c>
      <c r="AR176" s="2">
        <v>33.9963111877441</v>
      </c>
      <c r="AS176" s="2">
        <v>36.5</v>
      </c>
      <c r="AT176" s="2">
        <v>36.0</v>
      </c>
      <c r="AU176" s="2">
        <v>36.9</v>
      </c>
      <c r="AV176" s="2">
        <v>37.8</v>
      </c>
      <c r="AW176" s="2">
        <v>38.7</v>
      </c>
      <c r="AX176" s="2">
        <v>39.6</v>
      </c>
      <c r="AY176" s="2">
        <v>40.5</v>
      </c>
      <c r="AZ176" s="2">
        <v>43.7</v>
      </c>
      <c r="BA176" s="2">
        <v>42.4</v>
      </c>
      <c r="BB176" s="2">
        <v>44.1</v>
      </c>
      <c r="BC176" s="2">
        <v>44.4</v>
      </c>
      <c r="BD176" s="2">
        <v>42.3</v>
      </c>
      <c r="BE176" s="2">
        <v>46.4</v>
      </c>
      <c r="BF176" s="2">
        <v>47.4</v>
      </c>
      <c r="BG176" s="2">
        <v>48.4</v>
      </c>
      <c r="BH176" s="2">
        <v>51.6</v>
      </c>
      <c r="BI176" s="2">
        <v>49.7</v>
      </c>
      <c r="BJ176" s="2">
        <v>52.5</v>
      </c>
      <c r="BK176" s="2">
        <v>52.3</v>
      </c>
      <c r="BL176" s="2">
        <v>53.3</v>
      </c>
      <c r="BM176" s="2">
        <v>52.3</v>
      </c>
      <c r="BN176" s="2">
        <v>55.2</v>
      </c>
      <c r="BO176" s="2">
        <v>56.2</v>
      </c>
      <c r="BP176" s="2">
        <v>56.7</v>
      </c>
      <c r="BQ176" s="2">
        <v>59.3</v>
      </c>
      <c r="BS176" s="3" t="str">
        <f>VLOOKUP(B176, Metadata!A:B, 2, FALSE)</f>
        <v>Sub-Saharan Africa</v>
      </c>
      <c r="BT176" s="3">
        <f>VLOOKUP(B172,Population!A:B,2,FALSE)*(1-BP172/100)</f>
        <v>0</v>
      </c>
    </row>
    <row r="177" hidden="1">
      <c r="A177" s="2" t="s">
        <v>467</v>
      </c>
      <c r="B177" s="2" t="s">
        <v>310</v>
      </c>
      <c r="C177" s="2" t="s">
        <v>4</v>
      </c>
      <c r="D177" s="2" t="s">
        <v>5</v>
      </c>
      <c r="AI177" s="2">
        <v>99.8443069458008</v>
      </c>
      <c r="AJ177" s="2">
        <v>99.8758163452148</v>
      </c>
      <c r="AK177" s="2">
        <v>99.906867980957</v>
      </c>
      <c r="AL177" s="2">
        <v>99.937255859375</v>
      </c>
      <c r="AM177" s="2">
        <v>99.9650802612305</v>
      </c>
      <c r="AN177" s="2">
        <v>100.0</v>
      </c>
      <c r="AO177" s="2">
        <v>100.0</v>
      </c>
      <c r="AP177" s="2">
        <v>100.0</v>
      </c>
      <c r="AQ177" s="2">
        <v>100.0</v>
      </c>
      <c r="AR177" s="2">
        <v>100.0</v>
      </c>
      <c r="AS177" s="2">
        <v>100.0</v>
      </c>
      <c r="AT177" s="2">
        <v>100.0</v>
      </c>
      <c r="AU177" s="2">
        <v>100.0</v>
      </c>
      <c r="AV177" s="2">
        <v>100.0</v>
      </c>
      <c r="AW177" s="2">
        <v>100.0</v>
      </c>
      <c r="AX177" s="2">
        <v>100.0</v>
      </c>
      <c r="AY177" s="2">
        <v>100.0</v>
      </c>
      <c r="AZ177" s="2">
        <v>100.0</v>
      </c>
      <c r="BA177" s="2">
        <v>100.0</v>
      </c>
      <c r="BB177" s="2">
        <v>100.0</v>
      </c>
      <c r="BC177" s="2">
        <v>100.0</v>
      </c>
      <c r="BD177" s="2">
        <v>100.0</v>
      </c>
      <c r="BE177" s="2">
        <v>100.0</v>
      </c>
      <c r="BF177" s="2">
        <v>100.0</v>
      </c>
      <c r="BG177" s="2">
        <v>100.0</v>
      </c>
      <c r="BH177" s="2">
        <v>100.0</v>
      </c>
      <c r="BI177" s="2">
        <v>100.0</v>
      </c>
      <c r="BJ177" s="2">
        <v>100.0</v>
      </c>
      <c r="BK177" s="2">
        <v>100.0</v>
      </c>
      <c r="BL177" s="2">
        <v>100.0</v>
      </c>
      <c r="BM177" s="2">
        <v>100.0</v>
      </c>
      <c r="BN177" s="2">
        <v>100.0</v>
      </c>
      <c r="BO177" s="2">
        <v>100.0</v>
      </c>
      <c r="BP177" s="2">
        <v>100.0</v>
      </c>
      <c r="BQ177" s="2">
        <v>100.0</v>
      </c>
      <c r="BS177" s="3" t="str">
        <f>VLOOKUP(B177, Metadata!A:B, 2, FALSE)</f>
        <v>East Asia &amp; Pacific</v>
      </c>
    </row>
    <row r="178">
      <c r="A178" s="2" t="s">
        <v>156</v>
      </c>
      <c r="B178" s="2" t="s">
        <v>157</v>
      </c>
      <c r="C178" s="2" t="s">
        <v>4</v>
      </c>
      <c r="D178" s="2" t="s">
        <v>5</v>
      </c>
      <c r="AK178" s="2">
        <v>4.4</v>
      </c>
      <c r="AL178" s="2">
        <v>4.01213979721069</v>
      </c>
      <c r="AM178" s="2">
        <v>4.57177639007568</v>
      </c>
      <c r="AN178" s="2">
        <v>6.2</v>
      </c>
      <c r="AO178" s="2">
        <v>7.0</v>
      </c>
      <c r="AP178" s="2">
        <v>6.23572778701782</v>
      </c>
      <c r="AQ178" s="2">
        <v>6.7</v>
      </c>
      <c r="AR178" s="2">
        <v>7.32568216323853</v>
      </c>
      <c r="AS178" s="2">
        <v>6.5</v>
      </c>
      <c r="AT178" s="2">
        <v>8.4</v>
      </c>
      <c r="AU178" s="2">
        <v>8.8</v>
      </c>
      <c r="AV178" s="2">
        <v>9.3</v>
      </c>
      <c r="AW178" s="2">
        <v>9.7</v>
      </c>
      <c r="AX178" s="2">
        <v>7.1</v>
      </c>
      <c r="AY178" s="2">
        <v>9.3</v>
      </c>
      <c r="AZ178" s="2">
        <v>11.2</v>
      </c>
      <c r="BA178" s="2">
        <v>11.8</v>
      </c>
      <c r="BB178" s="2">
        <v>12.3</v>
      </c>
      <c r="BC178" s="2">
        <v>13.6</v>
      </c>
      <c r="BD178" s="2">
        <v>14.3</v>
      </c>
      <c r="BE178" s="2">
        <v>14.4</v>
      </c>
      <c r="BF178" s="2">
        <v>15.2</v>
      </c>
      <c r="BG178" s="2">
        <v>15.7</v>
      </c>
      <c r="BH178" s="2">
        <v>16.6</v>
      </c>
      <c r="BI178" s="2">
        <v>17.0</v>
      </c>
      <c r="BJ178" s="2">
        <v>17.6</v>
      </c>
      <c r="BK178" s="2">
        <v>17.6</v>
      </c>
      <c r="BL178" s="2">
        <v>18.5</v>
      </c>
      <c r="BM178" s="2">
        <v>18.7</v>
      </c>
      <c r="BN178" s="2">
        <v>18.6</v>
      </c>
      <c r="BO178" s="2">
        <v>19.5</v>
      </c>
      <c r="BP178" s="2">
        <v>20.1</v>
      </c>
      <c r="BQ178" s="2">
        <v>21.3</v>
      </c>
      <c r="BS178" s="3" t="str">
        <f>VLOOKUP(B178, Metadata!A:B, 2, FALSE)</f>
        <v>Sub-Saharan Africa</v>
      </c>
      <c r="BT178" s="3">
        <f>VLOOKUP(B174,Population!A:B,2,FALSE)*(1-BP174/100)</f>
        <v>0</v>
      </c>
    </row>
    <row r="179">
      <c r="A179" s="2" t="s">
        <v>98</v>
      </c>
      <c r="B179" s="2" t="s">
        <v>99</v>
      </c>
      <c r="C179" s="2" t="s">
        <v>4</v>
      </c>
      <c r="D179" s="2" t="s">
        <v>5</v>
      </c>
      <c r="AI179" s="2">
        <v>27.3</v>
      </c>
      <c r="AJ179" s="2">
        <v>35.2346000671387</v>
      </c>
      <c r="AK179" s="2">
        <v>36.0994606018066</v>
      </c>
      <c r="AL179" s="2">
        <v>36.9636459350586</v>
      </c>
      <c r="AM179" s="2">
        <v>37.8264694213867</v>
      </c>
      <c r="AN179" s="2">
        <v>38.6872520446777</v>
      </c>
      <c r="AO179" s="2">
        <v>39.5453186035156</v>
      </c>
      <c r="AP179" s="2">
        <v>40.3999824523926</v>
      </c>
      <c r="AQ179" s="2">
        <v>41.2505683898926</v>
      </c>
      <c r="AR179" s="2">
        <v>44.9</v>
      </c>
      <c r="AS179" s="2">
        <v>43.2</v>
      </c>
      <c r="AT179" s="2">
        <v>43.9</v>
      </c>
      <c r="AU179" s="2">
        <v>44.6</v>
      </c>
      <c r="AV179" s="2">
        <v>52.2</v>
      </c>
      <c r="AW179" s="2">
        <v>46.1</v>
      </c>
      <c r="AX179" s="2">
        <v>46.8</v>
      </c>
      <c r="AY179" s="2">
        <v>47.6</v>
      </c>
      <c r="AZ179" s="2">
        <v>50.1</v>
      </c>
      <c r="BA179" s="2">
        <v>50.3</v>
      </c>
      <c r="BB179" s="2">
        <v>50.0</v>
      </c>
      <c r="BC179" s="2">
        <v>48.0</v>
      </c>
      <c r="BD179" s="2">
        <v>55.9</v>
      </c>
      <c r="BE179" s="2">
        <v>53.0</v>
      </c>
      <c r="BF179" s="2">
        <v>55.6</v>
      </c>
      <c r="BG179" s="2">
        <v>54.2</v>
      </c>
      <c r="BH179" s="2">
        <v>52.5</v>
      </c>
      <c r="BI179" s="2">
        <v>59.3</v>
      </c>
      <c r="BJ179" s="2">
        <v>54.4</v>
      </c>
      <c r="BK179" s="2">
        <v>56.5</v>
      </c>
      <c r="BL179" s="2">
        <v>55.4</v>
      </c>
      <c r="BM179" s="2">
        <v>55.4</v>
      </c>
      <c r="BN179" s="2">
        <v>59.5</v>
      </c>
      <c r="BO179" s="2">
        <v>60.5</v>
      </c>
      <c r="BP179" s="2">
        <v>61.2</v>
      </c>
      <c r="BQ179" s="2">
        <v>62.5</v>
      </c>
      <c r="BS179" s="3" t="str">
        <f>VLOOKUP(B179, Metadata!A:B, 2, FALSE)</f>
        <v>Sub-Saharan Africa</v>
      </c>
      <c r="BT179" s="3">
        <f>VLOOKUP(B175,Population!A:B,2,FALSE)*(1-BP175/100)</f>
        <v>0</v>
      </c>
    </row>
    <row r="180" hidden="1">
      <c r="A180" s="2" t="s">
        <v>468</v>
      </c>
      <c r="B180" s="2" t="s">
        <v>311</v>
      </c>
      <c r="C180" s="2" t="s">
        <v>4</v>
      </c>
      <c r="D180" s="2" t="s">
        <v>5</v>
      </c>
      <c r="AL180" s="2">
        <v>72.064174</v>
      </c>
      <c r="AM180" s="2">
        <v>69.2538299560547</v>
      </c>
      <c r="AN180" s="2">
        <v>69.8499069213867</v>
      </c>
      <c r="AO180" s="2">
        <v>70.4432601928711</v>
      </c>
      <c r="AP180" s="2">
        <v>71.0332107543945</v>
      </c>
      <c r="AQ180" s="2">
        <v>69.047103</v>
      </c>
      <c r="AR180" s="2">
        <v>72.2001266479492</v>
      </c>
      <c r="AS180" s="2">
        <v>73.0</v>
      </c>
      <c r="AT180" s="2">
        <v>72.2</v>
      </c>
      <c r="AU180" s="2">
        <v>74.1</v>
      </c>
      <c r="AV180" s="2">
        <v>74.6</v>
      </c>
      <c r="AW180" s="2">
        <v>75.2</v>
      </c>
      <c r="AX180" s="2">
        <v>73.8</v>
      </c>
      <c r="AY180" s="2">
        <v>76.3</v>
      </c>
      <c r="AZ180" s="2">
        <v>76.9</v>
      </c>
      <c r="BA180" s="2">
        <v>77.5</v>
      </c>
      <c r="BB180" s="2">
        <v>77.9</v>
      </c>
      <c r="BC180" s="2">
        <v>80.1</v>
      </c>
      <c r="BD180" s="2">
        <v>81.2</v>
      </c>
      <c r="BE180" s="2">
        <v>81.3</v>
      </c>
      <c r="BF180" s="2">
        <v>81.9</v>
      </c>
      <c r="BG180" s="2">
        <v>81.9</v>
      </c>
      <c r="BH180" s="2">
        <v>83.2</v>
      </c>
      <c r="BI180" s="2">
        <v>83.9</v>
      </c>
      <c r="BJ180" s="2">
        <v>84.6</v>
      </c>
      <c r="BK180" s="2">
        <v>85.2</v>
      </c>
      <c r="BL180" s="2">
        <v>85.7</v>
      </c>
      <c r="BM180" s="2">
        <v>86.0</v>
      </c>
      <c r="BN180" s="2">
        <v>86.3</v>
      </c>
      <c r="BO180" s="2">
        <v>86.5</v>
      </c>
      <c r="BP180" s="2">
        <v>88.3</v>
      </c>
      <c r="BQ180" s="2">
        <v>88.7</v>
      </c>
      <c r="BS180" s="3" t="str">
        <f>VLOOKUP(B180, Metadata!A:B, 2, FALSE)</f>
        <v>Latin America &amp; Caribbean</v>
      </c>
    </row>
    <row r="181" hidden="1">
      <c r="A181" s="2" t="s">
        <v>469</v>
      </c>
      <c r="B181" s="2" t="s">
        <v>312</v>
      </c>
      <c r="C181" s="2" t="s">
        <v>4</v>
      </c>
      <c r="D181" s="2" t="s">
        <v>5</v>
      </c>
      <c r="AI181" s="2">
        <v>100.0</v>
      </c>
      <c r="AJ181" s="2">
        <v>100.0</v>
      </c>
      <c r="AK181" s="2">
        <v>100.0</v>
      </c>
      <c r="AL181" s="2">
        <v>100.0</v>
      </c>
      <c r="AM181" s="2">
        <v>100.0</v>
      </c>
      <c r="AN181" s="2">
        <v>100.0</v>
      </c>
      <c r="AO181" s="2">
        <v>100.0</v>
      </c>
      <c r="AP181" s="2">
        <v>100.0</v>
      </c>
      <c r="AQ181" s="2">
        <v>100.0</v>
      </c>
      <c r="AR181" s="2">
        <v>100.0</v>
      </c>
      <c r="AS181" s="2">
        <v>100.0</v>
      </c>
      <c r="AT181" s="2">
        <v>100.0</v>
      </c>
      <c r="AU181" s="2">
        <v>100.0</v>
      </c>
      <c r="AV181" s="2">
        <v>100.0</v>
      </c>
      <c r="AW181" s="2">
        <v>100.0</v>
      </c>
      <c r="AX181" s="2">
        <v>100.0</v>
      </c>
      <c r="AY181" s="2">
        <v>100.0</v>
      </c>
      <c r="AZ181" s="2">
        <v>100.0</v>
      </c>
      <c r="BA181" s="2">
        <v>100.0</v>
      </c>
      <c r="BB181" s="2">
        <v>100.0</v>
      </c>
      <c r="BC181" s="2">
        <v>100.0</v>
      </c>
      <c r="BD181" s="2">
        <v>100.0</v>
      </c>
      <c r="BE181" s="2">
        <v>100.0</v>
      </c>
      <c r="BF181" s="2">
        <v>100.0</v>
      </c>
      <c r="BG181" s="2">
        <v>100.0</v>
      </c>
      <c r="BH181" s="2">
        <v>100.0</v>
      </c>
      <c r="BI181" s="2">
        <v>100.0</v>
      </c>
      <c r="BJ181" s="2">
        <v>100.0</v>
      </c>
      <c r="BK181" s="2">
        <v>100.0</v>
      </c>
      <c r="BL181" s="2">
        <v>100.0</v>
      </c>
      <c r="BM181" s="2">
        <v>100.0</v>
      </c>
      <c r="BN181" s="2">
        <v>100.0</v>
      </c>
      <c r="BO181" s="2">
        <v>100.0</v>
      </c>
      <c r="BP181" s="2">
        <v>100.0</v>
      </c>
      <c r="BQ181" s="2">
        <v>100.0</v>
      </c>
      <c r="BS181" s="3" t="str">
        <f>VLOOKUP(B181, Metadata!A:B, 2, FALSE)</f>
        <v>Europe &amp; Central Asia</v>
      </c>
    </row>
    <row r="182" hidden="1">
      <c r="A182" s="2" t="s">
        <v>470</v>
      </c>
      <c r="B182" s="2" t="s">
        <v>313</v>
      </c>
      <c r="C182" s="2" t="s">
        <v>4</v>
      </c>
      <c r="D182" s="2" t="s">
        <v>5</v>
      </c>
      <c r="AI182" s="2">
        <v>100.0</v>
      </c>
      <c r="AJ182" s="2">
        <v>100.0</v>
      </c>
      <c r="AK182" s="2">
        <v>100.0</v>
      </c>
      <c r="AL182" s="2">
        <v>100.0</v>
      </c>
      <c r="AM182" s="2">
        <v>100.0</v>
      </c>
      <c r="AN182" s="2">
        <v>100.0</v>
      </c>
      <c r="AO182" s="2">
        <v>100.0</v>
      </c>
      <c r="AP182" s="2">
        <v>100.0</v>
      </c>
      <c r="AQ182" s="2">
        <v>100.0</v>
      </c>
      <c r="AR182" s="2">
        <v>100.0</v>
      </c>
      <c r="AS182" s="2">
        <v>100.0</v>
      </c>
      <c r="AT182" s="2">
        <v>100.0</v>
      </c>
      <c r="AU182" s="2">
        <v>100.0</v>
      </c>
      <c r="AV182" s="2">
        <v>100.0</v>
      </c>
      <c r="AW182" s="2">
        <v>100.0</v>
      </c>
      <c r="AX182" s="2">
        <v>100.0</v>
      </c>
      <c r="AY182" s="2">
        <v>100.0</v>
      </c>
      <c r="AZ182" s="2">
        <v>100.0</v>
      </c>
      <c r="BA182" s="2">
        <v>100.0</v>
      </c>
      <c r="BB182" s="2">
        <v>100.0</v>
      </c>
      <c r="BC182" s="2">
        <v>100.0</v>
      </c>
      <c r="BD182" s="2">
        <v>100.0</v>
      </c>
      <c r="BE182" s="2">
        <v>100.0</v>
      </c>
      <c r="BF182" s="2">
        <v>100.0</v>
      </c>
      <c r="BG182" s="2">
        <v>100.0</v>
      </c>
      <c r="BH182" s="2">
        <v>100.0</v>
      </c>
      <c r="BI182" s="2">
        <v>100.0</v>
      </c>
      <c r="BJ182" s="2">
        <v>100.0</v>
      </c>
      <c r="BK182" s="2">
        <v>100.0</v>
      </c>
      <c r="BL182" s="2">
        <v>100.0</v>
      </c>
      <c r="BM182" s="2">
        <v>100.0</v>
      </c>
      <c r="BN182" s="2">
        <v>100.0</v>
      </c>
      <c r="BO182" s="2">
        <v>100.0</v>
      </c>
      <c r="BP182" s="2">
        <v>100.0</v>
      </c>
      <c r="BQ182" s="2">
        <v>100.0</v>
      </c>
      <c r="BS182" s="3" t="str">
        <f>VLOOKUP(B182, Metadata!A:B, 2, FALSE)</f>
        <v>Europe &amp; Central Asia</v>
      </c>
    </row>
    <row r="183" hidden="1">
      <c r="A183" s="2" t="s">
        <v>471</v>
      </c>
      <c r="B183" s="2" t="s">
        <v>314</v>
      </c>
      <c r="C183" s="2" t="s">
        <v>4</v>
      </c>
      <c r="D183" s="2" t="s">
        <v>5</v>
      </c>
      <c r="AO183" s="2">
        <v>17.9</v>
      </c>
      <c r="AP183" s="2">
        <v>18.1328678131104</v>
      </c>
      <c r="AQ183" s="2">
        <v>21.7325325012207</v>
      </c>
      <c r="AR183" s="2">
        <v>25.3273544311523</v>
      </c>
      <c r="AS183" s="2">
        <v>29.9</v>
      </c>
      <c r="AT183" s="2">
        <v>24.6</v>
      </c>
      <c r="AU183" s="2">
        <v>36.4</v>
      </c>
      <c r="AV183" s="2">
        <v>39.6</v>
      </c>
      <c r="AW183" s="2">
        <v>37.2</v>
      </c>
      <c r="AX183" s="2">
        <v>46.1</v>
      </c>
      <c r="AY183" s="2">
        <v>51.2</v>
      </c>
      <c r="AZ183" s="2">
        <v>52.6</v>
      </c>
      <c r="BA183" s="2">
        <v>56.0</v>
      </c>
      <c r="BB183" s="2">
        <v>59.3</v>
      </c>
      <c r="BC183" s="2">
        <v>68.6</v>
      </c>
      <c r="BD183" s="2">
        <v>67.3</v>
      </c>
      <c r="BE183" s="2">
        <v>75.2</v>
      </c>
      <c r="BF183" s="2">
        <v>77.4</v>
      </c>
      <c r="BG183" s="2">
        <v>84.9</v>
      </c>
      <c r="BH183" s="2">
        <v>82.0</v>
      </c>
      <c r="BI183" s="2">
        <v>90.7</v>
      </c>
      <c r="BJ183" s="2">
        <v>86.6</v>
      </c>
      <c r="BK183" s="2">
        <v>93.9</v>
      </c>
      <c r="BL183" s="2">
        <v>89.9</v>
      </c>
      <c r="BM183" s="2">
        <v>89.9</v>
      </c>
      <c r="BN183" s="2">
        <v>89.9</v>
      </c>
      <c r="BO183" s="2">
        <v>91.3</v>
      </c>
      <c r="BP183" s="2">
        <v>94.0</v>
      </c>
      <c r="BQ183" s="2">
        <v>97.9</v>
      </c>
      <c r="BS183" s="3" t="str">
        <f>VLOOKUP(B183, Metadata!A:B, 2, FALSE)</f>
        <v>South Asia</v>
      </c>
    </row>
    <row r="184" hidden="1">
      <c r="A184" s="2" t="s">
        <v>472</v>
      </c>
      <c r="B184" s="2" t="s">
        <v>315</v>
      </c>
      <c r="C184" s="2" t="s">
        <v>4</v>
      </c>
      <c r="D184" s="2" t="s">
        <v>5</v>
      </c>
      <c r="AI184" s="2">
        <v>98.9990844726563</v>
      </c>
      <c r="AJ184" s="2">
        <v>99.0413055419922</v>
      </c>
      <c r="AK184" s="2">
        <v>99.0834197998047</v>
      </c>
      <c r="AL184" s="2">
        <v>99.1248550415039</v>
      </c>
      <c r="AM184" s="2">
        <v>99.164924621582</v>
      </c>
      <c r="AN184" s="2">
        <v>99.2029571533203</v>
      </c>
      <c r="AO184" s="2">
        <v>99.2382659912109</v>
      </c>
      <c r="AP184" s="2">
        <v>99.2701797485352</v>
      </c>
      <c r="AQ184" s="2">
        <v>99.2980117797852</v>
      </c>
      <c r="AR184" s="2">
        <v>99.3210067749023</v>
      </c>
      <c r="AS184" s="2">
        <v>99.1</v>
      </c>
      <c r="AT184" s="2">
        <v>99.0</v>
      </c>
      <c r="AU184" s="2">
        <v>99.0</v>
      </c>
      <c r="AV184" s="2">
        <v>99.0</v>
      </c>
      <c r="AW184" s="2">
        <v>99.0</v>
      </c>
      <c r="AX184" s="2">
        <v>99.0</v>
      </c>
      <c r="AY184" s="2">
        <v>99.0</v>
      </c>
      <c r="AZ184" s="2">
        <v>99.8</v>
      </c>
      <c r="BA184" s="2">
        <v>99.1</v>
      </c>
      <c r="BB184" s="2">
        <v>99.1</v>
      </c>
      <c r="BC184" s="2">
        <v>99.2</v>
      </c>
      <c r="BD184" s="2">
        <v>99.0</v>
      </c>
      <c r="BE184" s="2">
        <v>99.4</v>
      </c>
      <c r="BF184" s="2">
        <v>99.4</v>
      </c>
      <c r="BG184" s="2">
        <v>99.5</v>
      </c>
      <c r="BH184" s="2">
        <v>99.0</v>
      </c>
      <c r="BI184" s="2">
        <v>99.7</v>
      </c>
      <c r="BJ184" s="2">
        <v>99.8</v>
      </c>
      <c r="BK184" s="2">
        <v>99.9</v>
      </c>
      <c r="BL184" s="2">
        <v>100.0</v>
      </c>
      <c r="BM184" s="2">
        <v>100.0</v>
      </c>
      <c r="BN184" s="2">
        <v>100.0</v>
      </c>
      <c r="BO184" s="2">
        <v>100.0</v>
      </c>
      <c r="BP184" s="2">
        <v>100.0</v>
      </c>
      <c r="BQ184" s="2">
        <v>100.0</v>
      </c>
      <c r="BS184" s="3" t="str">
        <f>VLOOKUP(B184, Metadata!A:B, 2, FALSE)</f>
        <v>East Asia &amp; Pacific</v>
      </c>
    </row>
    <row r="185" hidden="1">
      <c r="A185" s="2" t="s">
        <v>473</v>
      </c>
      <c r="B185" s="2" t="s">
        <v>316</v>
      </c>
      <c r="C185" s="2" t="s">
        <v>4</v>
      </c>
      <c r="D185" s="2" t="s">
        <v>5</v>
      </c>
      <c r="AI185" s="2">
        <v>100.0</v>
      </c>
      <c r="AJ185" s="2">
        <v>100.0</v>
      </c>
      <c r="AK185" s="2">
        <v>100.0</v>
      </c>
      <c r="AL185" s="2">
        <v>100.0</v>
      </c>
      <c r="AM185" s="2">
        <v>100.0</v>
      </c>
      <c r="AN185" s="2">
        <v>100.0</v>
      </c>
      <c r="AO185" s="2">
        <v>100.0</v>
      </c>
      <c r="AP185" s="2">
        <v>100.0</v>
      </c>
      <c r="AQ185" s="2">
        <v>100.0</v>
      </c>
      <c r="AR185" s="2">
        <v>100.0</v>
      </c>
      <c r="AS185" s="2">
        <v>100.0</v>
      </c>
      <c r="AT185" s="2">
        <v>100.0</v>
      </c>
      <c r="AU185" s="2">
        <v>100.0</v>
      </c>
      <c r="AV185" s="2">
        <v>100.0</v>
      </c>
      <c r="AW185" s="2">
        <v>100.0</v>
      </c>
      <c r="AX185" s="2">
        <v>100.0</v>
      </c>
      <c r="AY185" s="2">
        <v>100.0</v>
      </c>
      <c r="AZ185" s="2">
        <v>100.0</v>
      </c>
      <c r="BA185" s="2">
        <v>100.0</v>
      </c>
      <c r="BB185" s="2">
        <v>100.0</v>
      </c>
      <c r="BC185" s="2">
        <v>100.0</v>
      </c>
      <c r="BD185" s="2">
        <v>100.0</v>
      </c>
      <c r="BE185" s="2">
        <v>100.0</v>
      </c>
      <c r="BF185" s="2">
        <v>100.0</v>
      </c>
      <c r="BG185" s="2">
        <v>100.0</v>
      </c>
      <c r="BH185" s="2">
        <v>100.0</v>
      </c>
      <c r="BI185" s="2">
        <v>100.0</v>
      </c>
      <c r="BJ185" s="2">
        <v>100.0</v>
      </c>
      <c r="BK185" s="2">
        <v>100.0</v>
      </c>
      <c r="BL185" s="2">
        <v>100.0</v>
      </c>
      <c r="BM185" s="2">
        <v>100.0</v>
      </c>
      <c r="BN185" s="2">
        <v>100.0</v>
      </c>
      <c r="BO185" s="2">
        <v>100.0</v>
      </c>
      <c r="BP185" s="2">
        <v>100.0</v>
      </c>
      <c r="BQ185" s="2">
        <v>100.0</v>
      </c>
      <c r="BS185" s="3" t="str">
        <f>VLOOKUP(B185, Metadata!A:B, 2, FALSE)</f>
        <v>East Asia &amp; Pacific</v>
      </c>
    </row>
    <row r="186" hidden="1">
      <c r="A186" s="2" t="s">
        <v>474</v>
      </c>
      <c r="B186" s="2" t="s">
        <v>317</v>
      </c>
      <c r="C186" s="2" t="s">
        <v>4</v>
      </c>
      <c r="D186" s="2" t="s">
        <v>5</v>
      </c>
      <c r="AI186" s="2">
        <v>99.5478013270206</v>
      </c>
      <c r="AJ186" s="2">
        <v>99.6454283887245</v>
      </c>
      <c r="AK186" s="2">
        <v>99.1258212322376</v>
      </c>
      <c r="AL186" s="2">
        <v>99.324175746866</v>
      </c>
      <c r="AM186" s="2">
        <v>99.3132420696542</v>
      </c>
      <c r="AN186" s="2">
        <v>99.3143991104613</v>
      </c>
      <c r="AO186" s="2">
        <v>99.3918575983826</v>
      </c>
      <c r="AP186" s="2">
        <v>99.4238772416254</v>
      </c>
      <c r="AQ186" s="2">
        <v>99.4211501461428</v>
      </c>
      <c r="AR186" s="2">
        <v>99.474356572683</v>
      </c>
      <c r="AS186" s="2">
        <v>99.6355291285159</v>
      </c>
      <c r="AT186" s="2">
        <v>99.6605225869064</v>
      </c>
      <c r="AU186" s="2">
        <v>99.6034955899274</v>
      </c>
      <c r="AV186" s="2">
        <v>99.5827208408458</v>
      </c>
      <c r="AW186" s="2">
        <v>99.666228773057</v>
      </c>
      <c r="AX186" s="2">
        <v>99.7390734427573</v>
      </c>
      <c r="AY186" s="2">
        <v>99.7396526812623</v>
      </c>
      <c r="AZ186" s="2">
        <v>99.6287855276073</v>
      </c>
      <c r="BA186" s="2">
        <v>99.7439647923726</v>
      </c>
      <c r="BB186" s="2">
        <v>99.6917727585993</v>
      </c>
      <c r="BC186" s="2">
        <v>99.8076262147082</v>
      </c>
      <c r="BD186" s="2">
        <v>99.7872116882093</v>
      </c>
      <c r="BE186" s="2">
        <v>99.8129467749549</v>
      </c>
      <c r="BF186" s="2">
        <v>99.835031540964</v>
      </c>
      <c r="BG186" s="2">
        <v>99.8480257662197</v>
      </c>
      <c r="BH186" s="2">
        <v>99.8393576230718</v>
      </c>
      <c r="BI186" s="2">
        <v>99.8959369290422</v>
      </c>
      <c r="BJ186" s="2">
        <v>99.9408589463576</v>
      </c>
      <c r="BK186" s="2">
        <v>99.8987530248709</v>
      </c>
      <c r="BL186" s="2">
        <v>99.940072384951</v>
      </c>
      <c r="BM186" s="2">
        <v>99.9329793160221</v>
      </c>
      <c r="BN186" s="2">
        <v>100.0</v>
      </c>
      <c r="BO186" s="2">
        <v>100.0</v>
      </c>
      <c r="BP186" s="2">
        <v>99.922945762566</v>
      </c>
      <c r="BQ186" s="2">
        <v>99.9247308566563</v>
      </c>
      <c r="BS186" s="3" t="str">
        <f>VLOOKUP(B186, Metadata!A:B, 2, FALSE)</f>
        <v/>
      </c>
    </row>
    <row r="187" hidden="1">
      <c r="A187" s="2" t="s">
        <v>475</v>
      </c>
      <c r="B187" s="2" t="s">
        <v>318</v>
      </c>
      <c r="C187" s="2" t="s">
        <v>4</v>
      </c>
      <c r="D187" s="2" t="s">
        <v>5</v>
      </c>
      <c r="AI187" s="2">
        <v>100.0</v>
      </c>
      <c r="AJ187" s="2">
        <v>100.0</v>
      </c>
      <c r="AK187" s="2">
        <v>100.0</v>
      </c>
      <c r="AL187" s="2">
        <v>100.0</v>
      </c>
      <c r="AM187" s="2">
        <v>100.0</v>
      </c>
      <c r="AN187" s="2">
        <v>100.0</v>
      </c>
      <c r="AO187" s="2">
        <v>100.0</v>
      </c>
      <c r="AP187" s="2">
        <v>100.0</v>
      </c>
      <c r="AQ187" s="2">
        <v>100.0</v>
      </c>
      <c r="AR187" s="2">
        <v>100.0</v>
      </c>
      <c r="AS187" s="2">
        <v>100.0</v>
      </c>
      <c r="AT187" s="2">
        <v>100.0</v>
      </c>
      <c r="AU187" s="2">
        <v>100.0</v>
      </c>
      <c r="AV187" s="2">
        <v>100.0</v>
      </c>
      <c r="AW187" s="2">
        <v>100.0</v>
      </c>
      <c r="AX187" s="2">
        <v>99.9</v>
      </c>
      <c r="AY187" s="2">
        <v>99.9</v>
      </c>
      <c r="AZ187" s="2">
        <v>100.0</v>
      </c>
      <c r="BA187" s="2">
        <v>100.0</v>
      </c>
      <c r="BB187" s="2">
        <v>100.0</v>
      </c>
      <c r="BC187" s="2">
        <v>100.0</v>
      </c>
      <c r="BD187" s="2">
        <v>100.0</v>
      </c>
      <c r="BE187" s="2">
        <v>100.0</v>
      </c>
      <c r="BF187" s="2">
        <v>100.0</v>
      </c>
      <c r="BG187" s="2">
        <v>100.0</v>
      </c>
      <c r="BH187" s="2">
        <v>100.0</v>
      </c>
      <c r="BI187" s="2">
        <v>100.0</v>
      </c>
      <c r="BJ187" s="2">
        <v>100.0</v>
      </c>
      <c r="BK187" s="2">
        <v>100.0</v>
      </c>
      <c r="BL187" s="2">
        <v>100.0</v>
      </c>
      <c r="BM187" s="2">
        <v>100.0</v>
      </c>
      <c r="BN187" s="2">
        <v>100.0</v>
      </c>
      <c r="BO187" s="2">
        <v>100.0</v>
      </c>
      <c r="BP187" s="2">
        <v>100.0</v>
      </c>
      <c r="BQ187" s="2">
        <v>100.0</v>
      </c>
      <c r="BS187" s="3" t="str">
        <f>VLOOKUP(B187, Metadata!A:B, 2, FALSE)</f>
        <v>Middle East &amp; North Africa</v>
      </c>
    </row>
    <row r="188" hidden="1">
      <c r="A188" s="2" t="s">
        <v>476</v>
      </c>
      <c r="B188" s="2" t="s">
        <v>319</v>
      </c>
      <c r="C188" s="2" t="s">
        <v>4</v>
      </c>
      <c r="D188" s="2" t="s">
        <v>5</v>
      </c>
      <c r="AS188" s="2">
        <v>71.1132956718053</v>
      </c>
      <c r="AT188" s="2">
        <v>72.8655376367779</v>
      </c>
      <c r="AU188" s="2">
        <v>72.1259448622127</v>
      </c>
      <c r="AV188" s="2">
        <v>73.1695370111875</v>
      </c>
      <c r="AW188" s="2">
        <v>74.5260416028874</v>
      </c>
      <c r="AX188" s="2">
        <v>75.7984756834167</v>
      </c>
      <c r="AY188" s="2">
        <v>76.1827098373868</v>
      </c>
      <c r="AZ188" s="2">
        <v>77.6573850936105</v>
      </c>
      <c r="BA188" s="2">
        <v>78.4662641033856</v>
      </c>
      <c r="BB188" s="2">
        <v>78.9212198624386</v>
      </c>
      <c r="BC188" s="2">
        <v>79.8432778556983</v>
      </c>
      <c r="BD188" s="2">
        <v>82.3763169043455</v>
      </c>
      <c r="BE188" s="2">
        <v>83.2159663044917</v>
      </c>
      <c r="BF188" s="2">
        <v>84.0687457795862</v>
      </c>
      <c r="BG188" s="2">
        <v>85.5436919645938</v>
      </c>
      <c r="BH188" s="2">
        <v>86.4520330481869</v>
      </c>
      <c r="BI188" s="2">
        <v>87.8544041310444</v>
      </c>
      <c r="BJ188" s="2">
        <v>89.3280026877149</v>
      </c>
      <c r="BK188" s="2">
        <v>90.472453074168</v>
      </c>
      <c r="BL188" s="2">
        <v>91.8035513133262</v>
      </c>
      <c r="BM188" s="2">
        <v>92.8384985004429</v>
      </c>
      <c r="BN188" s="2">
        <v>93.8560728212473</v>
      </c>
      <c r="BO188" s="2">
        <v>93.9605317818207</v>
      </c>
      <c r="BP188" s="2">
        <v>94.4954692175265</v>
      </c>
      <c r="BQ188" s="2">
        <v>94.5434268711783</v>
      </c>
      <c r="BS188" s="3" t="str">
        <f>VLOOKUP(B188, Metadata!A:B, 2, FALSE)</f>
        <v/>
      </c>
    </row>
    <row r="189" hidden="1">
      <c r="A189" s="2" t="s">
        <v>477</v>
      </c>
      <c r="B189" s="2" t="s">
        <v>320</v>
      </c>
      <c r="C189" s="2" t="s">
        <v>4</v>
      </c>
      <c r="D189" s="2" t="s">
        <v>5</v>
      </c>
      <c r="AQ189" s="2">
        <v>70.46</v>
      </c>
      <c r="AR189" s="2">
        <v>70.2653503417969</v>
      </c>
      <c r="AS189" s="2">
        <v>72.8</v>
      </c>
      <c r="AT189" s="2">
        <v>73.9</v>
      </c>
      <c r="AU189" s="2">
        <v>74.9</v>
      </c>
      <c r="AV189" s="2">
        <v>76.0</v>
      </c>
      <c r="AW189" s="2">
        <v>77.0</v>
      </c>
      <c r="AX189" s="2">
        <v>78.1</v>
      </c>
      <c r="AY189" s="2">
        <v>79.1</v>
      </c>
      <c r="AZ189" s="2">
        <v>80.2</v>
      </c>
      <c r="BA189" s="2">
        <v>81.4</v>
      </c>
      <c r="BB189" s="2">
        <v>82.5</v>
      </c>
      <c r="BC189" s="2">
        <v>87.1</v>
      </c>
      <c r="BD189" s="2">
        <v>87.8</v>
      </c>
      <c r="BE189" s="2">
        <v>88.6</v>
      </c>
      <c r="BF189" s="2">
        <v>89.3</v>
      </c>
      <c r="BG189" s="2">
        <v>90.1</v>
      </c>
      <c r="BH189" s="2">
        <v>91.0</v>
      </c>
      <c r="BI189" s="2">
        <v>91.8</v>
      </c>
      <c r="BJ189" s="2">
        <v>92.7</v>
      </c>
      <c r="BK189" s="2">
        <v>93.4</v>
      </c>
      <c r="BL189" s="2">
        <v>93.9</v>
      </c>
      <c r="BM189" s="2">
        <v>94.5</v>
      </c>
      <c r="BN189" s="2">
        <v>94.9</v>
      </c>
      <c r="BO189" s="2">
        <v>95.0</v>
      </c>
      <c r="BP189" s="2">
        <v>95.6</v>
      </c>
      <c r="BQ189" s="2">
        <v>95.7</v>
      </c>
      <c r="BS189" s="3" t="str">
        <f>VLOOKUP(B189, Metadata!A:B, 2, FALSE)</f>
        <v>Middle East &amp; North Africa</v>
      </c>
    </row>
    <row r="190" hidden="1">
      <c r="A190" s="2" t="s">
        <v>478</v>
      </c>
      <c r="B190" s="2" t="s">
        <v>321</v>
      </c>
      <c r="C190" s="2" t="s">
        <v>4</v>
      </c>
      <c r="D190" s="2" t="s">
        <v>5</v>
      </c>
      <c r="AI190" s="2">
        <v>70.19</v>
      </c>
      <c r="AJ190" s="2">
        <v>73.4431304931641</v>
      </c>
      <c r="AK190" s="2">
        <v>74.2556381225586</v>
      </c>
      <c r="AL190" s="2">
        <v>75.0674591064453</v>
      </c>
      <c r="AM190" s="2">
        <v>75.8779220581055</v>
      </c>
      <c r="AN190" s="2">
        <v>76.6863403320313</v>
      </c>
      <c r="AO190" s="2">
        <v>77.4920425415039</v>
      </c>
      <c r="AP190" s="2">
        <v>78.2943496704102</v>
      </c>
      <c r="AQ190" s="2">
        <v>79.0925750732422</v>
      </c>
      <c r="AR190" s="2">
        <v>79.8859558105469</v>
      </c>
      <c r="AS190" s="2">
        <v>81.4</v>
      </c>
      <c r="AT190" s="2">
        <v>81.5</v>
      </c>
      <c r="AU190" s="2">
        <v>82.1</v>
      </c>
      <c r="AV190" s="2">
        <v>87.8</v>
      </c>
      <c r="AW190" s="2">
        <v>83.4</v>
      </c>
      <c r="AX190" s="2">
        <v>84.1</v>
      </c>
      <c r="AY190" s="2">
        <v>84.8</v>
      </c>
      <c r="AZ190" s="2">
        <v>85.5</v>
      </c>
      <c r="BA190" s="2">
        <v>86.3</v>
      </c>
      <c r="BB190" s="2">
        <v>87.0</v>
      </c>
      <c r="BC190" s="2">
        <v>86.8</v>
      </c>
      <c r="BD190" s="2">
        <v>88.6</v>
      </c>
      <c r="BE190" s="2">
        <v>89.3</v>
      </c>
      <c r="BF190" s="2">
        <v>89.1</v>
      </c>
      <c r="BG190" s="2">
        <v>90.8</v>
      </c>
      <c r="BH190" s="2">
        <v>91.6</v>
      </c>
      <c r="BI190" s="2">
        <v>92.4</v>
      </c>
      <c r="BJ190" s="2">
        <v>93.7</v>
      </c>
      <c r="BK190" s="2">
        <v>93.8</v>
      </c>
      <c r="BL190" s="2">
        <v>93.9</v>
      </c>
      <c r="BM190" s="2">
        <v>95.3</v>
      </c>
      <c r="BN190" s="2">
        <v>95.3</v>
      </c>
      <c r="BO190" s="2">
        <v>95.0</v>
      </c>
      <c r="BP190" s="2">
        <v>97.0</v>
      </c>
      <c r="BQ190" s="2">
        <v>96.0</v>
      </c>
      <c r="BS190" s="3" t="str">
        <f>VLOOKUP(B190, Metadata!A:B, 2, FALSE)</f>
        <v>Latin America &amp; Caribbean</v>
      </c>
    </row>
    <row r="191" hidden="1">
      <c r="A191" s="2" t="s">
        <v>479</v>
      </c>
      <c r="B191" s="2" t="s">
        <v>322</v>
      </c>
      <c r="C191" s="2" t="s">
        <v>4</v>
      </c>
      <c r="D191" s="2" t="s">
        <v>5</v>
      </c>
      <c r="AK191" s="2">
        <v>70.1</v>
      </c>
      <c r="AL191" s="2">
        <v>64.7489929199219</v>
      </c>
      <c r="AM191" s="2">
        <v>66.0529327392578</v>
      </c>
      <c r="AN191" s="2">
        <v>67.3548355102539</v>
      </c>
      <c r="AO191" s="2">
        <v>67.0</v>
      </c>
      <c r="AP191" s="2">
        <v>69.16024</v>
      </c>
      <c r="AQ191" s="2">
        <v>72.072063</v>
      </c>
      <c r="AR191" s="2">
        <v>74.078523</v>
      </c>
      <c r="AS191" s="2">
        <v>72.5</v>
      </c>
      <c r="AT191" s="2">
        <v>72.1</v>
      </c>
      <c r="AU191" s="2">
        <v>74.4</v>
      </c>
      <c r="AV191" s="2">
        <v>74.4</v>
      </c>
      <c r="AW191" s="2">
        <v>75.7</v>
      </c>
      <c r="AX191" s="2">
        <v>77.2</v>
      </c>
      <c r="AY191" s="2">
        <v>80.2</v>
      </c>
      <c r="AZ191" s="2">
        <v>82.0</v>
      </c>
      <c r="BA191" s="2">
        <v>84.7</v>
      </c>
      <c r="BB191" s="2">
        <v>86.4</v>
      </c>
      <c r="BC191" s="2">
        <v>88.1</v>
      </c>
      <c r="BD191" s="2">
        <v>89.7</v>
      </c>
      <c r="BE191" s="2">
        <v>91.1</v>
      </c>
      <c r="BF191" s="2">
        <v>92.1</v>
      </c>
      <c r="BG191" s="2">
        <v>92.9</v>
      </c>
      <c r="BH191" s="2">
        <v>93.9</v>
      </c>
      <c r="BI191" s="2">
        <v>94.2</v>
      </c>
      <c r="BJ191" s="2">
        <v>94.8</v>
      </c>
      <c r="BK191" s="2">
        <v>95.2</v>
      </c>
      <c r="BL191" s="2">
        <v>95.6</v>
      </c>
      <c r="BM191" s="2">
        <v>96.2</v>
      </c>
      <c r="BN191" s="2">
        <v>95.6</v>
      </c>
      <c r="BO191" s="2">
        <v>96.2</v>
      </c>
      <c r="BP191" s="2">
        <v>96.2</v>
      </c>
      <c r="BQ191" s="2">
        <v>96.5</v>
      </c>
      <c r="BS191" s="3" t="str">
        <f>VLOOKUP(B191, Metadata!A:B, 2, FALSE)</f>
        <v>Latin America &amp; Caribbean</v>
      </c>
    </row>
    <row r="192" hidden="1">
      <c r="A192" s="2" t="s">
        <v>480</v>
      </c>
      <c r="B192" s="2" t="s">
        <v>323</v>
      </c>
      <c r="C192" s="2" t="s">
        <v>4</v>
      </c>
      <c r="D192" s="2" t="s">
        <v>5</v>
      </c>
      <c r="AL192" s="2">
        <v>65.4</v>
      </c>
      <c r="AM192" s="2">
        <v>68.0185546875</v>
      </c>
      <c r="AN192" s="2">
        <v>69.1331176757813</v>
      </c>
      <c r="AO192" s="2">
        <v>70.2449569702148</v>
      </c>
      <c r="AP192" s="2">
        <v>71.3533935546875</v>
      </c>
      <c r="AQ192" s="2">
        <v>71.3</v>
      </c>
      <c r="AR192" s="2">
        <v>71.8741709275167</v>
      </c>
      <c r="AS192" s="2">
        <v>74.7</v>
      </c>
      <c r="AT192" s="2">
        <v>75.7</v>
      </c>
      <c r="AU192" s="2">
        <v>76.7</v>
      </c>
      <c r="AV192" s="2">
        <v>76.6</v>
      </c>
      <c r="AW192" s="2">
        <v>87.6</v>
      </c>
      <c r="AX192" s="2">
        <v>79.8</v>
      </c>
      <c r="AY192" s="2">
        <v>80.2</v>
      </c>
      <c r="AZ192" s="2">
        <v>82.0</v>
      </c>
      <c r="BA192" s="2">
        <v>83.3</v>
      </c>
      <c r="BB192" s="2">
        <v>84.3</v>
      </c>
      <c r="BC192" s="2">
        <v>85.5</v>
      </c>
      <c r="BD192" s="2">
        <v>87.2</v>
      </c>
      <c r="BE192" s="2">
        <v>87.1</v>
      </c>
      <c r="BF192" s="2">
        <v>87.5</v>
      </c>
      <c r="BG192" s="2">
        <v>89.8</v>
      </c>
      <c r="BH192" s="2">
        <v>89.1</v>
      </c>
      <c r="BI192" s="2">
        <v>92.0</v>
      </c>
      <c r="BJ192" s="2">
        <v>93.0</v>
      </c>
      <c r="BK192" s="2">
        <v>94.2</v>
      </c>
      <c r="BL192" s="2">
        <v>95.3</v>
      </c>
      <c r="BM192" s="2">
        <v>96.4</v>
      </c>
      <c r="BN192" s="2">
        <v>97.5</v>
      </c>
      <c r="BO192" s="2">
        <v>94.8</v>
      </c>
      <c r="BP192" s="2">
        <v>98.0</v>
      </c>
      <c r="BQ192" s="2">
        <v>94.8</v>
      </c>
      <c r="BS192" s="3" t="str">
        <f>VLOOKUP(B192, Metadata!A:B, 2, FALSE)</f>
        <v>East Asia &amp; Pacific</v>
      </c>
    </row>
    <row r="193" hidden="1">
      <c r="A193" s="2" t="s">
        <v>481</v>
      </c>
      <c r="B193" s="2" t="s">
        <v>324</v>
      </c>
      <c r="C193" s="2" t="s">
        <v>4</v>
      </c>
      <c r="D193" s="2" t="s">
        <v>5</v>
      </c>
      <c r="AI193" s="2">
        <v>96.6253509521484</v>
      </c>
      <c r="AJ193" s="2">
        <v>96.7627029418945</v>
      </c>
      <c r="AK193" s="2">
        <v>96.8999328613281</v>
      </c>
      <c r="AL193" s="2">
        <v>97.036491394043</v>
      </c>
      <c r="AM193" s="2">
        <v>97.1716842651367</v>
      </c>
      <c r="AN193" s="2">
        <v>97.3048400878906</v>
      </c>
      <c r="AO193" s="2">
        <v>97.4352722167969</v>
      </c>
      <c r="AP193" s="2">
        <v>97.5623092651367</v>
      </c>
      <c r="AQ193" s="2">
        <v>97.6852645874023</v>
      </c>
      <c r="AR193" s="2">
        <v>97.8033752441406</v>
      </c>
      <c r="AS193" s="2">
        <v>97.9</v>
      </c>
      <c r="AT193" s="2">
        <v>98.0</v>
      </c>
      <c r="AU193" s="2">
        <v>98.0</v>
      </c>
      <c r="AV193" s="2">
        <v>98.1</v>
      </c>
      <c r="AW193" s="2">
        <v>98.1</v>
      </c>
      <c r="AX193" s="2">
        <v>98.9</v>
      </c>
      <c r="AY193" s="2">
        <v>98.3</v>
      </c>
      <c r="AZ193" s="2">
        <v>98.4</v>
      </c>
      <c r="BA193" s="2">
        <v>98.5</v>
      </c>
      <c r="BB193" s="2">
        <v>98.6</v>
      </c>
      <c r="BC193" s="2">
        <v>98.8</v>
      </c>
      <c r="BD193" s="2">
        <v>98.9</v>
      </c>
      <c r="BE193" s="2">
        <v>97.6</v>
      </c>
      <c r="BF193" s="2">
        <v>99.2</v>
      </c>
      <c r="BG193" s="2">
        <v>99.8</v>
      </c>
      <c r="BH193" s="2">
        <v>99.5</v>
      </c>
      <c r="BI193" s="2">
        <v>100.0</v>
      </c>
      <c r="BJ193" s="2">
        <v>100.0</v>
      </c>
      <c r="BK193" s="2">
        <v>100.0</v>
      </c>
      <c r="BL193" s="2">
        <v>100.0</v>
      </c>
      <c r="BM193" s="2">
        <v>100.0</v>
      </c>
      <c r="BN193" s="2">
        <v>100.0</v>
      </c>
      <c r="BO193" s="2">
        <v>100.0</v>
      </c>
      <c r="BP193" s="2">
        <v>100.0</v>
      </c>
      <c r="BQ193" s="2">
        <v>100.0</v>
      </c>
      <c r="BS193" s="3" t="str">
        <f>VLOOKUP(B193, Metadata!A:B, 2, FALSE)</f>
        <v>East Asia &amp; Pacific</v>
      </c>
    </row>
    <row r="194" hidden="1">
      <c r="A194" s="2" t="s">
        <v>482</v>
      </c>
      <c r="B194" s="2" t="s">
        <v>325</v>
      </c>
      <c r="C194" s="2" t="s">
        <v>4</v>
      </c>
      <c r="D194" s="2" t="s">
        <v>5</v>
      </c>
      <c r="AO194" s="2">
        <v>11.0</v>
      </c>
      <c r="AP194" s="2">
        <v>2.15848255157471</v>
      </c>
      <c r="AQ194" s="2">
        <v>4.29508972167969</v>
      </c>
      <c r="AR194" s="2">
        <v>6.42685508728027</v>
      </c>
      <c r="AS194" s="2">
        <v>12.4</v>
      </c>
      <c r="AT194" s="2">
        <v>12.7</v>
      </c>
      <c r="AU194" s="2">
        <v>13.1</v>
      </c>
      <c r="AV194" s="2">
        <v>13.4</v>
      </c>
      <c r="AW194" s="2">
        <v>13.8</v>
      </c>
      <c r="AX194" s="2">
        <v>14.1</v>
      </c>
      <c r="AY194" s="2">
        <v>12.4</v>
      </c>
      <c r="AZ194" s="2">
        <v>14.9</v>
      </c>
      <c r="BA194" s="2">
        <v>15.3</v>
      </c>
      <c r="BB194" s="2">
        <v>17.2</v>
      </c>
      <c r="BC194" s="2">
        <v>19.5</v>
      </c>
      <c r="BD194" s="2">
        <v>17.3</v>
      </c>
      <c r="BE194" s="2">
        <v>17.5</v>
      </c>
      <c r="BF194" s="2">
        <v>17.8</v>
      </c>
      <c r="BG194" s="2">
        <v>18.1</v>
      </c>
      <c r="BH194" s="2">
        <v>18.4</v>
      </c>
      <c r="BI194" s="2">
        <v>13.5</v>
      </c>
      <c r="BJ194" s="2">
        <v>19.2</v>
      </c>
      <c r="BK194" s="2">
        <v>16.6</v>
      </c>
      <c r="BL194" s="2">
        <v>23.6</v>
      </c>
      <c r="BM194" s="2">
        <v>20.5</v>
      </c>
      <c r="BN194" s="2">
        <v>20.9</v>
      </c>
      <c r="BO194" s="2">
        <v>19.0</v>
      </c>
      <c r="BP194" s="2">
        <v>20.5</v>
      </c>
      <c r="BQ194" s="2">
        <v>43.3</v>
      </c>
      <c r="BS194" s="3" t="str">
        <f>VLOOKUP(B194, Metadata!A:B, 2, FALSE)</f>
        <v>East Asia &amp; Pacific</v>
      </c>
    </row>
    <row r="195" hidden="1">
      <c r="A195" s="2" t="s">
        <v>483</v>
      </c>
      <c r="B195" s="2" t="s">
        <v>326</v>
      </c>
      <c r="C195" s="2" t="s">
        <v>4</v>
      </c>
      <c r="D195" s="2" t="s">
        <v>5</v>
      </c>
      <c r="AI195" s="2">
        <v>100.0</v>
      </c>
      <c r="AJ195" s="2">
        <v>100.0</v>
      </c>
      <c r="AK195" s="2">
        <v>100.0</v>
      </c>
      <c r="AL195" s="2">
        <v>100.0</v>
      </c>
      <c r="AM195" s="2">
        <v>100.0</v>
      </c>
      <c r="AN195" s="2">
        <v>100.0</v>
      </c>
      <c r="AO195" s="2">
        <v>100.0</v>
      </c>
      <c r="AP195" s="2">
        <v>100.0</v>
      </c>
      <c r="AQ195" s="2">
        <v>100.0</v>
      </c>
      <c r="AR195" s="2">
        <v>100.0</v>
      </c>
      <c r="AS195" s="2">
        <v>100.0</v>
      </c>
      <c r="AT195" s="2">
        <v>100.0</v>
      </c>
      <c r="AU195" s="2">
        <v>100.0</v>
      </c>
      <c r="AV195" s="2">
        <v>99.9</v>
      </c>
      <c r="AW195" s="2">
        <v>99.9</v>
      </c>
      <c r="AX195" s="2">
        <v>99.8</v>
      </c>
      <c r="AY195" s="2">
        <v>99.8</v>
      </c>
      <c r="AZ195" s="2">
        <v>99.8</v>
      </c>
      <c r="BA195" s="2">
        <v>99.8</v>
      </c>
      <c r="BB195" s="2">
        <v>100.0</v>
      </c>
      <c r="BC195" s="2">
        <v>100.0</v>
      </c>
      <c r="BD195" s="2">
        <v>100.0</v>
      </c>
      <c r="BE195" s="2">
        <v>100.0</v>
      </c>
      <c r="BF195" s="2">
        <v>100.0</v>
      </c>
      <c r="BG195" s="2">
        <v>100.0</v>
      </c>
      <c r="BH195" s="2">
        <v>100.0</v>
      </c>
      <c r="BI195" s="2">
        <v>100.0</v>
      </c>
      <c r="BJ195" s="2">
        <v>100.0</v>
      </c>
      <c r="BK195" s="2">
        <v>100.0</v>
      </c>
      <c r="BL195" s="2">
        <v>100.0</v>
      </c>
      <c r="BM195" s="2">
        <v>100.0</v>
      </c>
      <c r="BN195" s="2">
        <v>100.0</v>
      </c>
      <c r="BO195" s="2">
        <v>100.0</v>
      </c>
      <c r="BP195" s="2">
        <v>100.0</v>
      </c>
      <c r="BQ195" s="2">
        <v>100.0</v>
      </c>
      <c r="BS195" s="3" t="str">
        <f>VLOOKUP(B195, Metadata!A:B, 2, FALSE)</f>
        <v>Europe &amp; Central Asia</v>
      </c>
    </row>
    <row r="196" hidden="1">
      <c r="A196" s="2" t="s">
        <v>484</v>
      </c>
      <c r="B196" s="2" t="s">
        <v>327</v>
      </c>
      <c r="C196" s="2" t="s">
        <v>4</v>
      </c>
      <c r="D196" s="2" t="s">
        <v>5</v>
      </c>
      <c r="AP196" s="2">
        <v>23.085814386224</v>
      </c>
      <c r="AQ196" s="2">
        <v>23.7780398018501</v>
      </c>
      <c r="AR196" s="2">
        <v>25.0342371920207</v>
      </c>
      <c r="AS196" s="2">
        <v>24.8773648842159</v>
      </c>
      <c r="AT196" s="2">
        <v>26.1893208579933</v>
      </c>
      <c r="AU196" s="2">
        <v>27.0156430603898</v>
      </c>
      <c r="AV196" s="2">
        <v>29.5074049873495</v>
      </c>
      <c r="AW196" s="2">
        <v>29.0171914818597</v>
      </c>
      <c r="AX196" s="2">
        <v>29.7551436826789</v>
      </c>
      <c r="AY196" s="2">
        <v>31.0220812450439</v>
      </c>
      <c r="AZ196" s="2">
        <v>32.3547012106704</v>
      </c>
      <c r="BA196" s="2">
        <v>32.1585618077132</v>
      </c>
      <c r="BB196" s="2">
        <v>32.2387188706753</v>
      </c>
      <c r="BC196" s="2">
        <v>32.7206426489856</v>
      </c>
      <c r="BD196" s="2">
        <v>36.1212191704977</v>
      </c>
      <c r="BE196" s="2">
        <v>37.5007052148145</v>
      </c>
      <c r="BF196" s="2">
        <v>38.4095912462678</v>
      </c>
      <c r="BG196" s="2">
        <v>39.8903694751135</v>
      </c>
      <c r="BH196" s="2">
        <v>40.116553542693</v>
      </c>
      <c r="BI196" s="2">
        <v>44.6703060990128</v>
      </c>
      <c r="BJ196" s="2">
        <v>44.3558795540309</v>
      </c>
      <c r="BK196" s="2">
        <v>47.1030867324641</v>
      </c>
      <c r="BL196" s="2">
        <v>47.5849028108597</v>
      </c>
      <c r="BM196" s="2">
        <v>48.3815278923719</v>
      </c>
      <c r="BN196" s="2">
        <v>50.5123491097242</v>
      </c>
      <c r="BO196" s="2">
        <v>51.0976149094662</v>
      </c>
      <c r="BP196" s="2">
        <v>52.5242986079524</v>
      </c>
      <c r="BQ196" s="2">
        <v>54.321949964552</v>
      </c>
      <c r="BS196" s="3" t="str">
        <f>VLOOKUP(B196, Metadata!A:B, 2, FALSE)</f>
        <v/>
      </c>
    </row>
    <row r="197" hidden="1">
      <c r="A197" s="2" t="s">
        <v>485</v>
      </c>
      <c r="B197" s="2" t="s">
        <v>328</v>
      </c>
      <c r="C197" s="2" t="s">
        <v>4</v>
      </c>
      <c r="D197" s="2" t="s">
        <v>5</v>
      </c>
      <c r="AI197" s="2">
        <v>99.9834289550781</v>
      </c>
      <c r="AJ197" s="2">
        <v>99.9930953979492</v>
      </c>
      <c r="AK197" s="2">
        <v>99.9986190795898</v>
      </c>
      <c r="AL197" s="2">
        <v>100.0</v>
      </c>
      <c r="AM197" s="2">
        <v>100.0</v>
      </c>
      <c r="AN197" s="2">
        <v>100.0</v>
      </c>
      <c r="AO197" s="2">
        <v>100.0</v>
      </c>
      <c r="AP197" s="2">
        <v>100.0</v>
      </c>
      <c r="AQ197" s="2">
        <v>100.0</v>
      </c>
      <c r="AR197" s="2">
        <v>100.0</v>
      </c>
      <c r="AS197" s="2">
        <v>100.0</v>
      </c>
      <c r="AT197" s="2">
        <v>100.0</v>
      </c>
      <c r="AU197" s="2">
        <v>100.0</v>
      </c>
      <c r="AV197" s="2">
        <v>100.0</v>
      </c>
      <c r="AW197" s="2">
        <v>100.0</v>
      </c>
      <c r="AX197" s="2">
        <v>100.0</v>
      </c>
      <c r="AY197" s="2">
        <v>100.0</v>
      </c>
      <c r="AZ197" s="2">
        <v>100.0</v>
      </c>
      <c r="BA197" s="2">
        <v>100.0</v>
      </c>
      <c r="BB197" s="2">
        <v>100.0</v>
      </c>
      <c r="BC197" s="2">
        <v>100.0</v>
      </c>
      <c r="BD197" s="2">
        <v>100.0</v>
      </c>
      <c r="BE197" s="2">
        <v>100.0</v>
      </c>
      <c r="BF197" s="2">
        <v>100.0</v>
      </c>
      <c r="BG197" s="2">
        <v>100.0</v>
      </c>
      <c r="BH197" s="2">
        <v>100.0</v>
      </c>
      <c r="BI197" s="2">
        <v>100.0</v>
      </c>
      <c r="BJ197" s="2">
        <v>100.0</v>
      </c>
      <c r="BK197" s="2">
        <v>100.0</v>
      </c>
      <c r="BL197" s="2">
        <v>100.0</v>
      </c>
      <c r="BM197" s="2">
        <v>100.0</v>
      </c>
      <c r="BN197" s="2">
        <v>100.0</v>
      </c>
      <c r="BO197" s="2">
        <v>100.0</v>
      </c>
      <c r="BP197" s="2">
        <v>100.0</v>
      </c>
      <c r="BQ197" s="2">
        <v>100.0</v>
      </c>
      <c r="BS197" s="3" t="str">
        <f>VLOOKUP(B197, Metadata!A:B, 2, FALSE)</f>
        <v>Latin America &amp; Caribbean</v>
      </c>
    </row>
    <row r="198" hidden="1">
      <c r="A198" s="2" t="s">
        <v>486</v>
      </c>
      <c r="B198" s="2" t="s">
        <v>329</v>
      </c>
      <c r="C198" s="2" t="s">
        <v>4</v>
      </c>
      <c r="D198" s="2" t="s">
        <v>5</v>
      </c>
      <c r="BB198" s="2">
        <v>26.0</v>
      </c>
      <c r="BC198" s="2">
        <v>29.3</v>
      </c>
      <c r="BD198" s="2">
        <v>31.4</v>
      </c>
      <c r="BE198" s="2">
        <v>33.6</v>
      </c>
      <c r="BF198" s="2">
        <v>35.7</v>
      </c>
      <c r="BG198" s="2">
        <v>37.8</v>
      </c>
      <c r="BH198" s="2">
        <v>40.0</v>
      </c>
      <c r="BI198" s="2">
        <v>42.1</v>
      </c>
      <c r="BJ198" s="2">
        <v>44.2</v>
      </c>
      <c r="BK198" s="2">
        <v>46.3</v>
      </c>
      <c r="BL198" s="2">
        <v>48.4</v>
      </c>
      <c r="BM198" s="2">
        <v>50.5</v>
      </c>
      <c r="BN198" s="2">
        <v>52.6</v>
      </c>
      <c r="BO198" s="2">
        <v>54.7</v>
      </c>
      <c r="BP198" s="2">
        <v>57.5</v>
      </c>
      <c r="BQ198" s="2">
        <v>61.4</v>
      </c>
      <c r="BS198" s="3" t="str">
        <f>VLOOKUP(B198, Metadata!A:B, 2, FALSE)</f>
        <v>East Asia &amp; Pacific</v>
      </c>
    </row>
    <row r="199" hidden="1">
      <c r="A199" s="2" t="s">
        <v>487</v>
      </c>
      <c r="B199" s="2" t="s">
        <v>330</v>
      </c>
      <c r="C199" s="2" t="s">
        <v>4</v>
      </c>
      <c r="D199" s="2" t="s">
        <v>5</v>
      </c>
      <c r="AI199" s="2">
        <v>100.0</v>
      </c>
      <c r="AJ199" s="2">
        <v>100.0</v>
      </c>
      <c r="AK199" s="2">
        <v>100.0</v>
      </c>
      <c r="AL199" s="2">
        <v>100.0</v>
      </c>
      <c r="AM199" s="2">
        <v>100.0</v>
      </c>
      <c r="AN199" s="2">
        <v>100.0</v>
      </c>
      <c r="AO199" s="2">
        <v>100.0</v>
      </c>
      <c r="AP199" s="2">
        <v>100.0</v>
      </c>
      <c r="AQ199" s="2">
        <v>100.0</v>
      </c>
      <c r="AR199" s="2">
        <v>100.0</v>
      </c>
      <c r="AS199" s="2">
        <v>100.0</v>
      </c>
      <c r="AT199" s="2">
        <v>100.0</v>
      </c>
      <c r="AU199" s="2">
        <v>100.0</v>
      </c>
      <c r="AV199" s="2">
        <v>100.0</v>
      </c>
      <c r="AW199" s="2">
        <v>100.0</v>
      </c>
      <c r="AX199" s="2">
        <v>100.0</v>
      </c>
      <c r="AY199" s="2">
        <v>100.0</v>
      </c>
      <c r="AZ199" s="2">
        <v>100.0</v>
      </c>
      <c r="BA199" s="2">
        <v>100.0</v>
      </c>
      <c r="BB199" s="2">
        <v>100.0</v>
      </c>
      <c r="BC199" s="2">
        <v>100.0</v>
      </c>
      <c r="BD199" s="2">
        <v>100.0</v>
      </c>
      <c r="BE199" s="2">
        <v>100.0</v>
      </c>
      <c r="BF199" s="2">
        <v>100.0</v>
      </c>
      <c r="BG199" s="2">
        <v>100.0</v>
      </c>
      <c r="BH199" s="2">
        <v>100.0</v>
      </c>
      <c r="BI199" s="2">
        <v>100.0</v>
      </c>
      <c r="BJ199" s="2">
        <v>100.0</v>
      </c>
      <c r="BK199" s="2">
        <v>100.0</v>
      </c>
      <c r="BL199" s="2">
        <v>100.0</v>
      </c>
      <c r="BM199" s="2">
        <v>100.0</v>
      </c>
      <c r="BN199" s="2">
        <v>100.0</v>
      </c>
      <c r="BO199" s="2">
        <v>100.0</v>
      </c>
      <c r="BP199" s="2">
        <v>100.0</v>
      </c>
      <c r="BQ199" s="2">
        <v>100.0</v>
      </c>
      <c r="BS199" s="3" t="str">
        <f>VLOOKUP(B199, Metadata!A:B, 2, FALSE)</f>
        <v>Europe &amp; Central Asia</v>
      </c>
    </row>
    <row r="200" hidden="1">
      <c r="A200" s="2" t="s">
        <v>488</v>
      </c>
      <c r="B200" s="2" t="s">
        <v>331</v>
      </c>
      <c r="C200" s="2" t="s">
        <v>4</v>
      </c>
      <c r="D200" s="2" t="s">
        <v>5</v>
      </c>
      <c r="AN200" s="2">
        <v>77.469114</v>
      </c>
      <c r="AO200" s="2">
        <v>86.2600555419922</v>
      </c>
      <c r="AP200" s="2">
        <v>86.412854</v>
      </c>
      <c r="AQ200" s="2">
        <v>87.7623672485352</v>
      </c>
      <c r="AR200" s="2">
        <v>88.518177</v>
      </c>
      <c r="AS200" s="2">
        <v>89.6</v>
      </c>
      <c r="AT200" s="2">
        <v>91.0</v>
      </c>
      <c r="AU200" s="2">
        <v>91.7</v>
      </c>
      <c r="AV200" s="2">
        <v>92.6</v>
      </c>
      <c r="AW200" s="2">
        <v>93.2</v>
      </c>
      <c r="AX200" s="2">
        <v>94.7</v>
      </c>
      <c r="AY200" s="2">
        <v>96.7</v>
      </c>
      <c r="AZ200" s="2">
        <v>96.5</v>
      </c>
      <c r="BA200" s="2">
        <v>96.7</v>
      </c>
      <c r="BB200" s="2">
        <v>96.9</v>
      </c>
      <c r="BC200" s="2">
        <v>97.4</v>
      </c>
      <c r="BD200" s="2">
        <v>98.2</v>
      </c>
      <c r="BE200" s="2">
        <v>97.8</v>
      </c>
      <c r="BF200" s="2">
        <v>99.0</v>
      </c>
      <c r="BG200" s="2">
        <v>99.0</v>
      </c>
      <c r="BH200" s="2">
        <v>99.3</v>
      </c>
      <c r="BI200" s="2">
        <v>98.4</v>
      </c>
      <c r="BJ200" s="2">
        <v>99.3</v>
      </c>
      <c r="BK200" s="2">
        <v>99.6</v>
      </c>
      <c r="BL200" s="2">
        <v>99.7</v>
      </c>
      <c r="BM200" s="2">
        <v>99.7</v>
      </c>
      <c r="BN200" s="2">
        <v>100.0</v>
      </c>
      <c r="BO200" s="2">
        <v>100.0</v>
      </c>
      <c r="BP200" s="2">
        <v>99.8</v>
      </c>
      <c r="BQ200" s="2">
        <v>99.8</v>
      </c>
      <c r="BS200" s="3" t="str">
        <f>VLOOKUP(B200, Metadata!A:B, 2, FALSE)</f>
        <v>Latin America &amp; Caribbean</v>
      </c>
    </row>
    <row r="201" hidden="1">
      <c r="A201" s="2" t="s">
        <v>489</v>
      </c>
      <c r="B201" s="2" t="s">
        <v>332</v>
      </c>
      <c r="C201" s="2" t="s">
        <v>4</v>
      </c>
      <c r="D201" s="2" t="s">
        <v>5</v>
      </c>
      <c r="AP201" s="2">
        <v>97.9</v>
      </c>
      <c r="AQ201" s="2">
        <v>98.5392990112305</v>
      </c>
      <c r="AR201" s="2">
        <v>98.6231536865234</v>
      </c>
      <c r="AS201" s="2">
        <v>99.7</v>
      </c>
      <c r="AT201" s="2">
        <v>99.1</v>
      </c>
      <c r="AU201" s="2">
        <v>99.2</v>
      </c>
      <c r="AV201" s="2">
        <v>99.1</v>
      </c>
      <c r="AW201" s="2">
        <v>99.5</v>
      </c>
      <c r="AX201" s="2">
        <v>99.6</v>
      </c>
      <c r="AY201" s="2">
        <v>99.7</v>
      </c>
      <c r="AZ201" s="2">
        <v>98.8</v>
      </c>
      <c r="BA201" s="2">
        <v>99.8</v>
      </c>
      <c r="BB201" s="2">
        <v>99.9</v>
      </c>
      <c r="BC201" s="2">
        <v>99.9</v>
      </c>
      <c r="BD201" s="2">
        <v>99.7</v>
      </c>
      <c r="BE201" s="2">
        <v>99.8</v>
      </c>
      <c r="BF201" s="2">
        <v>99.9</v>
      </c>
      <c r="BG201" s="2">
        <v>99.9</v>
      </c>
      <c r="BH201" s="2">
        <v>99.9</v>
      </c>
      <c r="BI201" s="2">
        <v>100.0</v>
      </c>
      <c r="BJ201" s="2">
        <v>99.9</v>
      </c>
      <c r="BK201" s="2">
        <v>100.0</v>
      </c>
      <c r="BL201" s="2">
        <v>100.0</v>
      </c>
      <c r="BM201" s="2">
        <v>100.0</v>
      </c>
      <c r="BN201" s="2">
        <v>100.0</v>
      </c>
      <c r="BO201" s="2">
        <v>100.0</v>
      </c>
      <c r="BP201" s="2">
        <v>100.0</v>
      </c>
      <c r="BQ201" s="2">
        <v>100.0</v>
      </c>
      <c r="BS201" s="3" t="str">
        <f>VLOOKUP(B201, Metadata!A:B, 2, FALSE)</f>
        <v>Middle East &amp; North Africa</v>
      </c>
    </row>
    <row r="202" hidden="1">
      <c r="A202" s="2" t="s">
        <v>490</v>
      </c>
      <c r="B202" s="2" t="s">
        <v>333</v>
      </c>
      <c r="C202" s="2" t="s">
        <v>4</v>
      </c>
      <c r="D202" s="2" t="s">
        <v>5</v>
      </c>
      <c r="AR202" s="2">
        <v>56.9114246772576</v>
      </c>
      <c r="AS202" s="2">
        <v>55.2875180803359</v>
      </c>
      <c r="AT202" s="2">
        <v>56.6328134447056</v>
      </c>
      <c r="AU202" s="2">
        <v>58.333247934756</v>
      </c>
      <c r="AV202" s="2">
        <v>59.4337402008496</v>
      </c>
      <c r="AW202" s="2">
        <v>60.6186578451227</v>
      </c>
      <c r="AX202" s="2">
        <v>62.2414370499196</v>
      </c>
      <c r="AY202" s="2">
        <v>61.6671146830488</v>
      </c>
      <c r="AZ202" s="2">
        <v>63.9376929353584</v>
      </c>
      <c r="BA202" s="2">
        <v>67.26129946415</v>
      </c>
      <c r="BB202" s="2">
        <v>64.8201897407066</v>
      </c>
      <c r="BC202" s="2">
        <v>71.7961252713048</v>
      </c>
      <c r="BD202" s="2">
        <v>72.8044582293327</v>
      </c>
      <c r="BE202" s="2">
        <v>73.8316460480866</v>
      </c>
      <c r="BF202" s="2">
        <v>72.6617984322668</v>
      </c>
      <c r="BG202" s="2">
        <v>76.5754031125716</v>
      </c>
      <c r="BH202" s="2">
        <v>78.5477895035505</v>
      </c>
      <c r="BI202" s="2">
        <v>79.9083422592839</v>
      </c>
      <c r="BJ202" s="2">
        <v>82.1041734677982</v>
      </c>
      <c r="BK202" s="2">
        <v>82.69782730903</v>
      </c>
      <c r="BL202" s="2">
        <v>84.3434350882329</v>
      </c>
      <c r="BM202" s="2">
        <v>86.1939811336602</v>
      </c>
      <c r="BN202" s="2">
        <v>85.6708178235478</v>
      </c>
      <c r="BO202" s="2">
        <v>85.6038100577211</v>
      </c>
      <c r="BP202" s="2">
        <v>88.8705713618501</v>
      </c>
      <c r="BQ202" s="2">
        <v>88.2672275917394</v>
      </c>
      <c r="BS202" s="3" t="str">
        <f>VLOOKUP(B202, Metadata!A:B, 2, FALSE)</f>
        <v/>
      </c>
    </row>
    <row r="203" hidden="1">
      <c r="A203" s="2" t="s">
        <v>491</v>
      </c>
      <c r="B203" s="2" t="s">
        <v>334</v>
      </c>
      <c r="C203" s="2" t="s">
        <v>4</v>
      </c>
      <c r="D203" s="2" t="s">
        <v>5</v>
      </c>
      <c r="AI203" s="2">
        <v>99.994396586414</v>
      </c>
      <c r="AJ203" s="2">
        <v>99.9957506180665</v>
      </c>
      <c r="AK203" s="2">
        <v>99.997093795937</v>
      </c>
      <c r="AL203" s="2">
        <v>99.9983399457616</v>
      </c>
      <c r="AM203" s="2">
        <v>99.9992630205594</v>
      </c>
      <c r="AN203" s="2">
        <v>99.9997675203638</v>
      </c>
      <c r="AO203" s="2">
        <v>99.9997759815837</v>
      </c>
      <c r="AP203" s="2">
        <v>99.9997844908339</v>
      </c>
      <c r="AQ203" s="2">
        <v>99.9997932730016</v>
      </c>
      <c r="AR203" s="2">
        <v>99.9998023209135</v>
      </c>
      <c r="AS203" s="2">
        <v>99.7150166440245</v>
      </c>
      <c r="AT203" s="2">
        <v>99.7255593140198</v>
      </c>
      <c r="AU203" s="2">
        <v>99.7316007227745</v>
      </c>
      <c r="AV203" s="2">
        <v>99.7555451096394</v>
      </c>
      <c r="AW203" s="2">
        <v>99.7721994027259</v>
      </c>
      <c r="AX203" s="2">
        <v>99.8064210710187</v>
      </c>
      <c r="AY203" s="2">
        <v>99.8027859638569</v>
      </c>
      <c r="AZ203" s="2">
        <v>99.830497747895</v>
      </c>
      <c r="BA203" s="2">
        <v>99.8432655331659</v>
      </c>
      <c r="BB203" s="2">
        <v>99.8622101103662</v>
      </c>
      <c r="BC203" s="2">
        <v>99.8801524112079</v>
      </c>
      <c r="BD203" s="2">
        <v>99.8927586055928</v>
      </c>
      <c r="BE203" s="2">
        <v>99.9029465280479</v>
      </c>
      <c r="BF203" s="2">
        <v>99.91888365851</v>
      </c>
      <c r="BG203" s="2">
        <v>99.9320556078746</v>
      </c>
      <c r="BH203" s="2">
        <v>99.9447341377698</v>
      </c>
      <c r="BI203" s="2">
        <v>99.9577816305613</v>
      </c>
      <c r="BJ203" s="2">
        <v>99.971122525168</v>
      </c>
      <c r="BK203" s="2">
        <v>99.9821600556642</v>
      </c>
      <c r="BL203" s="2">
        <v>99.9932424627619</v>
      </c>
      <c r="BM203" s="2">
        <v>99.9972400773978</v>
      </c>
      <c r="BN203" s="2">
        <v>99.9988344208097</v>
      </c>
      <c r="BO203" s="2">
        <v>100.0</v>
      </c>
      <c r="BP203" s="2">
        <v>100.0</v>
      </c>
      <c r="BQ203" s="2">
        <v>100.0</v>
      </c>
      <c r="BS203" s="3" t="str">
        <f>VLOOKUP(B203, Metadata!A:B, 2, FALSE)</f>
        <v/>
      </c>
    </row>
    <row r="204" hidden="1">
      <c r="A204" s="2" t="s">
        <v>492</v>
      </c>
      <c r="B204" s="2" t="s">
        <v>335</v>
      </c>
      <c r="C204" s="2" t="s">
        <v>4</v>
      </c>
      <c r="D204" s="2" t="s">
        <v>5</v>
      </c>
      <c r="AI204" s="2">
        <v>100.0</v>
      </c>
      <c r="AJ204" s="2">
        <v>100.0</v>
      </c>
      <c r="AK204" s="2">
        <v>100.0</v>
      </c>
      <c r="AL204" s="2">
        <v>100.0</v>
      </c>
      <c r="AM204" s="2">
        <v>100.0</v>
      </c>
      <c r="AN204" s="2">
        <v>100.0</v>
      </c>
      <c r="AO204" s="2">
        <v>100.0</v>
      </c>
      <c r="AP204" s="2">
        <v>100.0</v>
      </c>
      <c r="AQ204" s="2">
        <v>100.0</v>
      </c>
      <c r="AR204" s="2">
        <v>100.0</v>
      </c>
      <c r="AS204" s="2">
        <v>100.0</v>
      </c>
      <c r="AT204" s="2">
        <v>100.0</v>
      </c>
      <c r="AU204" s="2">
        <v>100.0</v>
      </c>
      <c r="AV204" s="2">
        <v>100.0</v>
      </c>
      <c r="AW204" s="2">
        <v>100.0</v>
      </c>
      <c r="AX204" s="2">
        <v>100.0</v>
      </c>
      <c r="AY204" s="2">
        <v>100.0</v>
      </c>
      <c r="AZ204" s="2">
        <v>100.0</v>
      </c>
      <c r="BA204" s="2">
        <v>100.0</v>
      </c>
      <c r="BB204" s="2">
        <v>100.0</v>
      </c>
      <c r="BC204" s="2">
        <v>100.0</v>
      </c>
      <c r="BD204" s="2">
        <v>100.0</v>
      </c>
      <c r="BE204" s="2">
        <v>100.0</v>
      </c>
      <c r="BF204" s="2">
        <v>100.0</v>
      </c>
      <c r="BG204" s="2">
        <v>100.0</v>
      </c>
      <c r="BH204" s="2">
        <v>100.0</v>
      </c>
      <c r="BI204" s="2">
        <v>100.0</v>
      </c>
      <c r="BJ204" s="2">
        <v>100.0</v>
      </c>
      <c r="BK204" s="2">
        <v>100.0</v>
      </c>
      <c r="BL204" s="2">
        <v>100.0</v>
      </c>
      <c r="BM204" s="2">
        <v>100.0</v>
      </c>
      <c r="BN204" s="2">
        <v>100.0</v>
      </c>
      <c r="BO204" s="2">
        <v>100.0</v>
      </c>
      <c r="BP204" s="2">
        <v>100.0</v>
      </c>
      <c r="BQ204" s="2">
        <v>100.0</v>
      </c>
      <c r="BS204" s="3" t="str">
        <f>VLOOKUP(B204, Metadata!A:B, 2, FALSE)</f>
        <v>East Asia &amp; Pacific</v>
      </c>
    </row>
    <row r="205" hidden="1">
      <c r="A205" s="2" t="s">
        <v>493</v>
      </c>
      <c r="B205" s="2" t="s">
        <v>336</v>
      </c>
      <c r="C205" s="2" t="s">
        <v>4</v>
      </c>
      <c r="D205" s="2" t="s">
        <v>5</v>
      </c>
      <c r="AI205" s="2">
        <v>100.0</v>
      </c>
      <c r="AJ205" s="2">
        <v>100.0</v>
      </c>
      <c r="AK205" s="2">
        <v>100.0</v>
      </c>
      <c r="AL205" s="2">
        <v>100.0</v>
      </c>
      <c r="AM205" s="2">
        <v>100.0</v>
      </c>
      <c r="AN205" s="2">
        <v>100.0</v>
      </c>
      <c r="AO205" s="2">
        <v>100.0</v>
      </c>
      <c r="AP205" s="2">
        <v>100.0</v>
      </c>
      <c r="AQ205" s="2">
        <v>100.0</v>
      </c>
      <c r="AR205" s="2">
        <v>100.0</v>
      </c>
      <c r="AS205" s="2">
        <v>100.0</v>
      </c>
      <c r="AT205" s="2">
        <v>100.0</v>
      </c>
      <c r="AU205" s="2">
        <v>100.0</v>
      </c>
      <c r="AV205" s="2">
        <v>100.0</v>
      </c>
      <c r="AW205" s="2">
        <v>100.0</v>
      </c>
      <c r="AX205" s="2">
        <v>100.0</v>
      </c>
      <c r="AY205" s="2">
        <v>100.0</v>
      </c>
      <c r="AZ205" s="2">
        <v>100.0</v>
      </c>
      <c r="BA205" s="2">
        <v>100.0</v>
      </c>
      <c r="BB205" s="2">
        <v>100.0</v>
      </c>
      <c r="BC205" s="2">
        <v>100.0</v>
      </c>
      <c r="BD205" s="2">
        <v>100.0</v>
      </c>
      <c r="BE205" s="2">
        <v>100.0</v>
      </c>
      <c r="BF205" s="2">
        <v>100.0</v>
      </c>
      <c r="BG205" s="2">
        <v>100.0</v>
      </c>
      <c r="BH205" s="2">
        <v>100.0</v>
      </c>
      <c r="BI205" s="2">
        <v>100.0</v>
      </c>
      <c r="BJ205" s="2">
        <v>100.0</v>
      </c>
      <c r="BK205" s="2">
        <v>100.0</v>
      </c>
      <c r="BL205" s="2">
        <v>100.0</v>
      </c>
      <c r="BM205" s="2">
        <v>100.0</v>
      </c>
      <c r="BN205" s="2">
        <v>100.0</v>
      </c>
      <c r="BO205" s="2">
        <v>100.0</v>
      </c>
      <c r="BP205" s="2">
        <v>100.0</v>
      </c>
      <c r="BQ205" s="2">
        <v>100.0</v>
      </c>
      <c r="BS205" s="3" t="str">
        <f>VLOOKUP(B205, Metadata!A:B, 2, FALSE)</f>
        <v>Middle East &amp; North Africa</v>
      </c>
    </row>
    <row r="206" hidden="1">
      <c r="A206" s="2" t="s">
        <v>494</v>
      </c>
      <c r="B206" s="2" t="s">
        <v>337</v>
      </c>
      <c r="C206" s="2" t="s">
        <v>4</v>
      </c>
      <c r="D206" s="2" t="s">
        <v>5</v>
      </c>
      <c r="AI206" s="2">
        <v>100.0</v>
      </c>
      <c r="AJ206" s="2">
        <v>100.0</v>
      </c>
      <c r="AK206" s="2">
        <v>100.0</v>
      </c>
      <c r="AL206" s="2">
        <v>100.0</v>
      </c>
      <c r="AM206" s="2">
        <v>100.0</v>
      </c>
      <c r="AN206" s="2">
        <v>100.0</v>
      </c>
      <c r="AO206" s="2">
        <v>100.0</v>
      </c>
      <c r="AP206" s="2">
        <v>100.0</v>
      </c>
      <c r="AQ206" s="2">
        <v>100.0</v>
      </c>
      <c r="AR206" s="2">
        <v>100.0</v>
      </c>
      <c r="AS206" s="2">
        <v>94.4</v>
      </c>
      <c r="AT206" s="2">
        <v>94.6</v>
      </c>
      <c r="AU206" s="2">
        <v>94.9</v>
      </c>
      <c r="AV206" s="2">
        <v>95.1</v>
      </c>
      <c r="AW206" s="2">
        <v>95.3</v>
      </c>
      <c r="AX206" s="2">
        <v>95.6</v>
      </c>
      <c r="AY206" s="2">
        <v>95.9</v>
      </c>
      <c r="AZ206" s="2">
        <v>96.1</v>
      </c>
      <c r="BA206" s="2">
        <v>96.5</v>
      </c>
      <c r="BB206" s="2">
        <v>96.8</v>
      </c>
      <c r="BC206" s="2">
        <v>97.1</v>
      </c>
      <c r="BD206" s="2">
        <v>97.4</v>
      </c>
      <c r="BE206" s="2">
        <v>97.8</v>
      </c>
      <c r="BF206" s="2">
        <v>98.1</v>
      </c>
      <c r="BG206" s="2">
        <v>98.4</v>
      </c>
      <c r="BH206" s="2">
        <v>98.8</v>
      </c>
      <c r="BI206" s="2">
        <v>99.1</v>
      </c>
      <c r="BJ206" s="2">
        <v>100.0</v>
      </c>
      <c r="BK206" s="2">
        <v>99.8</v>
      </c>
      <c r="BL206" s="2">
        <v>100.0</v>
      </c>
      <c r="BM206" s="2">
        <v>100.0</v>
      </c>
      <c r="BN206" s="2">
        <v>100.0</v>
      </c>
      <c r="BO206" s="2">
        <v>100.0</v>
      </c>
      <c r="BP206" s="2">
        <v>100.0</v>
      </c>
      <c r="BQ206" s="2">
        <v>100.0</v>
      </c>
      <c r="BS206" s="3" t="str">
        <f>VLOOKUP(B206, Metadata!A:B, 2, FALSE)</f>
        <v>Europe &amp; Central Asia</v>
      </c>
    </row>
    <row r="207" hidden="1">
      <c r="A207" s="2" t="s">
        <v>495</v>
      </c>
      <c r="B207" s="2" t="s">
        <v>338</v>
      </c>
      <c r="C207" s="2" t="s">
        <v>4</v>
      </c>
      <c r="D207" s="2" t="s">
        <v>5</v>
      </c>
      <c r="AI207" s="2">
        <v>100.0</v>
      </c>
      <c r="AJ207" s="2">
        <v>100.0</v>
      </c>
      <c r="AK207" s="2">
        <v>100.0</v>
      </c>
      <c r="AL207" s="2">
        <v>100.0</v>
      </c>
      <c r="AM207" s="2">
        <v>100.0</v>
      </c>
      <c r="AN207" s="2">
        <v>100.0</v>
      </c>
      <c r="AO207" s="2">
        <v>100.0</v>
      </c>
      <c r="AP207" s="2">
        <v>100.0</v>
      </c>
      <c r="AQ207" s="2">
        <v>100.0</v>
      </c>
      <c r="AR207" s="2">
        <v>100.0</v>
      </c>
      <c r="AS207" s="2">
        <v>97.8</v>
      </c>
      <c r="AT207" s="2">
        <v>97.9</v>
      </c>
      <c r="AU207" s="2">
        <v>97.9</v>
      </c>
      <c r="AV207" s="2">
        <v>97.9</v>
      </c>
      <c r="AW207" s="2">
        <v>98.0</v>
      </c>
      <c r="AX207" s="2">
        <v>98.0</v>
      </c>
      <c r="AY207" s="2">
        <v>98.1</v>
      </c>
      <c r="AZ207" s="2">
        <v>98.2</v>
      </c>
      <c r="BA207" s="2">
        <v>98.3</v>
      </c>
      <c r="BB207" s="2">
        <v>98.4</v>
      </c>
      <c r="BC207" s="2">
        <v>99.3</v>
      </c>
      <c r="BD207" s="2">
        <v>99.2</v>
      </c>
      <c r="BE207" s="2">
        <v>100.0</v>
      </c>
      <c r="BF207" s="2">
        <v>100.0</v>
      </c>
      <c r="BG207" s="2">
        <v>100.0</v>
      </c>
      <c r="BH207" s="2">
        <v>95.5</v>
      </c>
      <c r="BI207" s="2">
        <v>99.4</v>
      </c>
      <c r="BJ207" s="2">
        <v>100.0</v>
      </c>
      <c r="BK207" s="2">
        <v>100.0</v>
      </c>
      <c r="BL207" s="2">
        <v>99.8</v>
      </c>
      <c r="BM207" s="2">
        <v>99.9</v>
      </c>
      <c r="BN207" s="2">
        <v>100.0</v>
      </c>
      <c r="BO207" s="2">
        <v>100.0</v>
      </c>
      <c r="BP207" s="2">
        <v>100.0</v>
      </c>
      <c r="BQ207" s="2">
        <v>100.0</v>
      </c>
      <c r="BS207" s="3" t="str">
        <f>VLOOKUP(B207, Metadata!A:B, 2, FALSE)</f>
        <v>Europe &amp; Central Asia</v>
      </c>
    </row>
    <row r="208">
      <c r="A208" s="2" t="s">
        <v>128</v>
      </c>
      <c r="B208" s="2" t="s">
        <v>129</v>
      </c>
      <c r="C208" s="2" t="s">
        <v>4</v>
      </c>
      <c r="D208" s="2" t="s">
        <v>5</v>
      </c>
      <c r="AK208" s="2">
        <v>2.3</v>
      </c>
      <c r="AP208" s="2">
        <v>1.02783596515656</v>
      </c>
      <c r="AQ208" s="2">
        <v>2.17412757873535</v>
      </c>
      <c r="AR208" s="2">
        <v>3.31557703018188</v>
      </c>
      <c r="AS208" s="2">
        <v>6.2</v>
      </c>
      <c r="AT208" s="2">
        <v>4.7</v>
      </c>
      <c r="AU208" s="2">
        <v>6.0</v>
      </c>
      <c r="AV208" s="2">
        <v>7.4</v>
      </c>
      <c r="AW208" s="2">
        <v>8.7</v>
      </c>
      <c r="AX208" s="2">
        <v>4.8</v>
      </c>
      <c r="AY208" s="2">
        <v>11.4</v>
      </c>
      <c r="AZ208" s="2">
        <v>12.8</v>
      </c>
      <c r="BA208" s="2">
        <v>6.0</v>
      </c>
      <c r="BB208" s="2">
        <v>15.6</v>
      </c>
      <c r="BC208" s="2">
        <v>9.7</v>
      </c>
      <c r="BD208" s="2">
        <v>10.8</v>
      </c>
      <c r="BE208" s="2">
        <v>17.5</v>
      </c>
      <c r="BF208" s="2">
        <v>15.2</v>
      </c>
      <c r="BG208" s="2">
        <v>19.8</v>
      </c>
      <c r="BH208" s="2">
        <v>22.8</v>
      </c>
      <c r="BI208" s="2">
        <v>29.4</v>
      </c>
      <c r="BJ208" s="2">
        <v>34.1</v>
      </c>
      <c r="BK208" s="2">
        <v>38.0</v>
      </c>
      <c r="BL208" s="2">
        <v>46.6</v>
      </c>
      <c r="BM208" s="2">
        <v>45.2</v>
      </c>
      <c r="BN208" s="2">
        <v>48.7</v>
      </c>
      <c r="BO208" s="2">
        <v>50.6</v>
      </c>
      <c r="BP208" s="2">
        <v>63.9</v>
      </c>
      <c r="BQ208" s="2">
        <v>72.0</v>
      </c>
      <c r="BS208" s="3" t="str">
        <f>VLOOKUP(B208, Metadata!A:B, 2, FALSE)</f>
        <v>Sub-Saharan Africa</v>
      </c>
      <c r="BT208" s="3">
        <f>VLOOKUP(B204,Population!A:B,2,FALSE)*(1-BP204/100)</f>
        <v>0</v>
      </c>
    </row>
    <row r="209" hidden="1">
      <c r="A209" s="2" t="s">
        <v>442</v>
      </c>
      <c r="B209" s="2" t="s">
        <v>339</v>
      </c>
      <c r="C209" s="2" t="s">
        <v>4</v>
      </c>
      <c r="D209" s="2" t="s">
        <v>5</v>
      </c>
      <c r="AL209" s="2">
        <v>46.5639839682946</v>
      </c>
      <c r="AM209" s="2">
        <v>46.182183503465</v>
      </c>
      <c r="AN209" s="2">
        <v>47.6646821855425</v>
      </c>
      <c r="AO209" s="2">
        <v>48.7664992694092</v>
      </c>
      <c r="AP209" s="2">
        <v>50.2960104925638</v>
      </c>
      <c r="AQ209" s="2">
        <v>52.2303738805993</v>
      </c>
      <c r="AR209" s="2">
        <v>56.0177412007675</v>
      </c>
      <c r="AS209" s="2">
        <v>56.7664246764092</v>
      </c>
      <c r="AT209" s="2">
        <v>58.3485213159577</v>
      </c>
      <c r="AU209" s="2">
        <v>59.415783976672</v>
      </c>
      <c r="AV209" s="2">
        <v>62.3411030558805</v>
      </c>
      <c r="AW209" s="2">
        <v>61.4842830339197</v>
      </c>
      <c r="AX209" s="2">
        <v>65.8536460162923</v>
      </c>
      <c r="AY209" s="2">
        <v>65.9235565867572</v>
      </c>
      <c r="AZ209" s="2">
        <v>69.284881859242</v>
      </c>
      <c r="BA209" s="2">
        <v>71.778258866002</v>
      </c>
      <c r="BB209" s="2">
        <v>72.9865860973521</v>
      </c>
      <c r="BC209" s="2">
        <v>74.0765736340237</v>
      </c>
      <c r="BD209" s="2">
        <v>77.3091651585732</v>
      </c>
      <c r="BE209" s="2">
        <v>78.4195444509049</v>
      </c>
      <c r="BF209" s="2">
        <v>80.847453203069</v>
      </c>
      <c r="BG209" s="2">
        <v>82.8480224291431</v>
      </c>
      <c r="BH209" s="2">
        <v>86.5327784624672</v>
      </c>
      <c r="BI209" s="2">
        <v>88.3184480403398</v>
      </c>
      <c r="BJ209" s="2">
        <v>91.3983728307397</v>
      </c>
      <c r="BK209" s="2">
        <v>94.8192024055978</v>
      </c>
      <c r="BL209" s="2">
        <v>95.4698953988653</v>
      </c>
      <c r="BM209" s="2">
        <v>96.4013617397441</v>
      </c>
      <c r="BN209" s="2">
        <v>99.3693129133951</v>
      </c>
      <c r="BO209" s="2">
        <v>99.0895114731934</v>
      </c>
      <c r="BP209" s="2">
        <v>99.4087889697405</v>
      </c>
      <c r="BQ209" s="2">
        <v>99.8246424902051</v>
      </c>
      <c r="BS209" s="3" t="str">
        <f>VLOOKUP(B209, Metadata!A:B, 2, FALSE)</f>
        <v/>
      </c>
    </row>
    <row r="210" hidden="1">
      <c r="A210" s="2" t="s">
        <v>496</v>
      </c>
      <c r="B210" s="2" t="s">
        <v>340</v>
      </c>
      <c r="C210" s="2" t="s">
        <v>4</v>
      </c>
      <c r="D210" s="2" t="s">
        <v>5</v>
      </c>
      <c r="AI210" s="2">
        <v>100.0</v>
      </c>
      <c r="AJ210" s="2">
        <v>100.0</v>
      </c>
      <c r="AK210" s="2">
        <v>100.0</v>
      </c>
      <c r="AL210" s="2">
        <v>100.0</v>
      </c>
      <c r="AM210" s="2">
        <v>100.0</v>
      </c>
      <c r="AN210" s="2">
        <v>100.0</v>
      </c>
      <c r="AO210" s="2">
        <v>100.0</v>
      </c>
      <c r="AP210" s="2">
        <v>100.0</v>
      </c>
      <c r="AQ210" s="2">
        <v>100.0</v>
      </c>
      <c r="AR210" s="2">
        <v>100.0</v>
      </c>
      <c r="AS210" s="2">
        <v>100.0</v>
      </c>
      <c r="AT210" s="2">
        <v>100.0</v>
      </c>
      <c r="AU210" s="2">
        <v>100.0</v>
      </c>
      <c r="AV210" s="2">
        <v>100.0</v>
      </c>
      <c r="AW210" s="2">
        <v>100.0</v>
      </c>
      <c r="AX210" s="2">
        <v>100.0</v>
      </c>
      <c r="AY210" s="2">
        <v>100.0</v>
      </c>
      <c r="AZ210" s="2">
        <v>100.0</v>
      </c>
      <c r="BA210" s="2">
        <v>100.0</v>
      </c>
      <c r="BB210" s="2">
        <v>100.0</v>
      </c>
      <c r="BC210" s="2">
        <v>100.0</v>
      </c>
      <c r="BD210" s="2">
        <v>100.0</v>
      </c>
      <c r="BE210" s="2">
        <v>100.0</v>
      </c>
      <c r="BF210" s="2">
        <v>100.0</v>
      </c>
      <c r="BG210" s="2">
        <v>100.0</v>
      </c>
      <c r="BH210" s="2">
        <v>100.0</v>
      </c>
      <c r="BI210" s="2">
        <v>99.9</v>
      </c>
      <c r="BJ210" s="2">
        <v>100.0</v>
      </c>
      <c r="BK210" s="2">
        <v>99.9</v>
      </c>
      <c r="BL210" s="2">
        <v>100.0</v>
      </c>
      <c r="BM210" s="2">
        <v>100.0</v>
      </c>
      <c r="BN210" s="2">
        <v>100.0</v>
      </c>
      <c r="BO210" s="2">
        <v>100.0</v>
      </c>
      <c r="BP210" s="2">
        <v>100.0</v>
      </c>
      <c r="BQ210" s="2">
        <v>100.0</v>
      </c>
      <c r="BS210" s="3" t="str">
        <f>VLOOKUP(B210, Metadata!A:B, 2, FALSE)</f>
        <v>Middle East &amp; North Africa</v>
      </c>
    </row>
    <row r="211">
      <c r="A211" s="2" t="s">
        <v>160</v>
      </c>
      <c r="B211" s="2" t="s">
        <v>161</v>
      </c>
      <c r="C211" s="2" t="s">
        <v>4</v>
      </c>
      <c r="D211" s="2" t="s">
        <v>5</v>
      </c>
      <c r="AI211" s="2">
        <v>32.8</v>
      </c>
      <c r="AJ211" s="2">
        <v>26.9192943572998</v>
      </c>
      <c r="AK211" s="2">
        <v>27.4086132049561</v>
      </c>
      <c r="AL211" s="2">
        <v>27.897253036499</v>
      </c>
      <c r="AM211" s="2">
        <v>28.3845348358154</v>
      </c>
      <c r="AN211" s="2">
        <v>28.8697834014893</v>
      </c>
      <c r="AO211" s="2">
        <v>29.35231590271</v>
      </c>
      <c r="AP211" s="2">
        <v>29.8314571380615</v>
      </c>
      <c r="AQ211" s="2">
        <v>30.3065280914307</v>
      </c>
      <c r="AR211" s="2">
        <v>30.7767562866211</v>
      </c>
      <c r="AS211" s="2">
        <v>23.0</v>
      </c>
      <c r="AT211" s="2">
        <v>29.4</v>
      </c>
      <c r="AU211" s="2">
        <v>29.7</v>
      </c>
      <c r="AV211" s="2">
        <v>29.9</v>
      </c>
      <c r="AW211" s="2">
        <v>30.2</v>
      </c>
      <c r="AX211" s="2">
        <v>30.5</v>
      </c>
      <c r="AY211" s="2">
        <v>30.8</v>
      </c>
      <c r="AZ211" s="2">
        <v>31.1</v>
      </c>
      <c r="BA211" s="2">
        <v>20.0</v>
      </c>
      <c r="BB211" s="2">
        <v>29.0</v>
      </c>
      <c r="BC211" s="2">
        <v>36.0</v>
      </c>
      <c r="BD211" s="2">
        <v>38.3</v>
      </c>
      <c r="BE211" s="2">
        <v>40.7</v>
      </c>
      <c r="BF211" s="2">
        <v>43.1</v>
      </c>
      <c r="BG211" s="2">
        <v>44.9</v>
      </c>
      <c r="BH211" s="2">
        <v>48.0</v>
      </c>
      <c r="BI211" s="2">
        <v>50.5</v>
      </c>
      <c r="BJ211" s="2">
        <v>53.0</v>
      </c>
      <c r="BK211" s="2">
        <v>55.3</v>
      </c>
      <c r="BL211" s="2">
        <v>57.6</v>
      </c>
      <c r="BM211" s="2">
        <v>59.7</v>
      </c>
      <c r="BN211" s="2">
        <v>61.8</v>
      </c>
      <c r="BO211" s="2">
        <v>63.2</v>
      </c>
      <c r="BP211" s="2">
        <v>66.0</v>
      </c>
      <c r="BQ211" s="2">
        <v>66.0</v>
      </c>
      <c r="BS211" s="3" t="str">
        <f>VLOOKUP(B211, Metadata!A:B, 2, FALSE)</f>
        <v>Sub-Saharan Africa</v>
      </c>
      <c r="BT211" s="3">
        <f>VLOOKUP(B207,Population!A:B,2,FALSE)*(1-BP207/100)</f>
        <v>0</v>
      </c>
    </row>
    <row r="212">
      <c r="A212" s="2" t="s">
        <v>90</v>
      </c>
      <c r="B212" s="2" t="s">
        <v>91</v>
      </c>
      <c r="C212" s="2" t="s">
        <v>4</v>
      </c>
      <c r="D212" s="2" t="s">
        <v>5</v>
      </c>
      <c r="AL212" s="2">
        <v>26.0</v>
      </c>
      <c r="AM212" s="2">
        <v>27.190486907959</v>
      </c>
      <c r="AN212" s="2">
        <v>28.8571910858154</v>
      </c>
      <c r="AO212" s="2">
        <v>30.5211772918701</v>
      </c>
      <c r="AP212" s="2">
        <v>32.2</v>
      </c>
      <c r="AQ212" s="2">
        <v>33.8382682800293</v>
      </c>
      <c r="AR212" s="2">
        <v>36.2</v>
      </c>
      <c r="AS212" s="2">
        <v>37.7</v>
      </c>
      <c r="AT212" s="2">
        <v>38.9</v>
      </c>
      <c r="AU212" s="2">
        <v>36.8</v>
      </c>
      <c r="AV212" s="2">
        <v>41.9</v>
      </c>
      <c r="AW212" s="2">
        <v>36.8</v>
      </c>
      <c r="AX212" s="2">
        <v>47.1</v>
      </c>
      <c r="AY212" s="2">
        <v>49.9</v>
      </c>
      <c r="AZ212" s="2">
        <v>48.1</v>
      </c>
      <c r="BA212" s="2">
        <v>49.7</v>
      </c>
      <c r="BB212" s="2">
        <v>53.5</v>
      </c>
      <c r="BC212" s="2">
        <v>56.5</v>
      </c>
      <c r="BD212" s="2">
        <v>56.5</v>
      </c>
      <c r="BE212" s="2">
        <v>56.5</v>
      </c>
      <c r="BF212" s="2">
        <v>57.0</v>
      </c>
      <c r="BG212" s="2">
        <v>61.0</v>
      </c>
      <c r="BH212" s="2">
        <v>60.5</v>
      </c>
      <c r="BI212" s="2">
        <v>64.5</v>
      </c>
      <c r="BJ212" s="2">
        <v>61.7</v>
      </c>
      <c r="BK212" s="2">
        <v>66.0</v>
      </c>
      <c r="BL212" s="2">
        <v>70.4</v>
      </c>
      <c r="BM212" s="2">
        <v>64.3</v>
      </c>
      <c r="BN212" s="2">
        <v>68.0</v>
      </c>
      <c r="BO212" s="2">
        <v>67.9</v>
      </c>
      <c r="BP212" s="2">
        <v>74.2</v>
      </c>
      <c r="BQ212" s="2">
        <v>82.9</v>
      </c>
      <c r="BS212" s="3" t="str">
        <f>VLOOKUP(B212, Metadata!A:B, 2, FALSE)</f>
        <v>Sub-Saharan Africa</v>
      </c>
      <c r="BT212" s="3">
        <f>VLOOKUP(B208,Population!A:B,2,FALSE)*(1-BP208/100)</f>
        <v>5037564.031</v>
      </c>
    </row>
    <row r="213" hidden="1">
      <c r="A213" s="2" t="s">
        <v>497</v>
      </c>
      <c r="B213" s="2" t="s">
        <v>341</v>
      </c>
      <c r="C213" s="2" t="s">
        <v>4</v>
      </c>
      <c r="D213" s="2" t="s">
        <v>5</v>
      </c>
      <c r="AI213" s="2">
        <v>100.0</v>
      </c>
      <c r="AJ213" s="2">
        <v>100.0</v>
      </c>
      <c r="AK213" s="2">
        <v>100.0</v>
      </c>
      <c r="AL213" s="2">
        <v>100.0</v>
      </c>
      <c r="AM213" s="2">
        <v>100.0</v>
      </c>
      <c r="AN213" s="2">
        <v>100.0</v>
      </c>
      <c r="AO213" s="2">
        <v>100.0</v>
      </c>
      <c r="AP213" s="2">
        <v>100.0</v>
      </c>
      <c r="AQ213" s="2">
        <v>100.0</v>
      </c>
      <c r="AR213" s="2">
        <v>100.0</v>
      </c>
      <c r="AS213" s="2">
        <v>100.0</v>
      </c>
      <c r="AT213" s="2">
        <v>100.0</v>
      </c>
      <c r="AU213" s="2">
        <v>100.0</v>
      </c>
      <c r="AV213" s="2">
        <v>100.0</v>
      </c>
      <c r="AW213" s="2">
        <v>100.0</v>
      </c>
      <c r="AX213" s="2">
        <v>100.0</v>
      </c>
      <c r="AY213" s="2">
        <v>100.0</v>
      </c>
      <c r="AZ213" s="2">
        <v>100.0</v>
      </c>
      <c r="BA213" s="2">
        <v>100.0</v>
      </c>
      <c r="BB213" s="2">
        <v>100.0</v>
      </c>
      <c r="BC213" s="2">
        <v>100.0</v>
      </c>
      <c r="BD213" s="2">
        <v>100.0</v>
      </c>
      <c r="BE213" s="2">
        <v>100.0</v>
      </c>
      <c r="BF213" s="2">
        <v>100.0</v>
      </c>
      <c r="BG213" s="2">
        <v>100.0</v>
      </c>
      <c r="BH213" s="2">
        <v>100.0</v>
      </c>
      <c r="BI213" s="2">
        <v>100.0</v>
      </c>
      <c r="BJ213" s="2">
        <v>100.0</v>
      </c>
      <c r="BK213" s="2">
        <v>100.0</v>
      </c>
      <c r="BL213" s="2">
        <v>100.0</v>
      </c>
      <c r="BM213" s="2">
        <v>100.0</v>
      </c>
      <c r="BN213" s="2">
        <v>100.0</v>
      </c>
      <c r="BO213" s="2">
        <v>100.0</v>
      </c>
      <c r="BP213" s="2">
        <v>100.0</v>
      </c>
      <c r="BQ213" s="2">
        <v>100.0</v>
      </c>
      <c r="BS213" s="3" t="str">
        <f>VLOOKUP(B213, Metadata!A:B, 2, FALSE)</f>
        <v>East Asia &amp; Pacific</v>
      </c>
    </row>
    <row r="214" hidden="1">
      <c r="A214" s="2" t="s">
        <v>498</v>
      </c>
      <c r="B214" s="2" t="s">
        <v>342</v>
      </c>
      <c r="C214" s="2" t="s">
        <v>4</v>
      </c>
      <c r="D214" s="2" t="s">
        <v>5</v>
      </c>
      <c r="AR214" s="2">
        <v>15.7</v>
      </c>
      <c r="AS214" s="2">
        <v>4.7</v>
      </c>
      <c r="AT214" s="2">
        <v>7.6</v>
      </c>
      <c r="AU214" s="2">
        <v>10.5</v>
      </c>
      <c r="AV214" s="2">
        <v>13.4</v>
      </c>
      <c r="AW214" s="2">
        <v>16.3</v>
      </c>
      <c r="AX214" s="2">
        <v>19.2</v>
      </c>
      <c r="AY214" s="2">
        <v>14.4</v>
      </c>
      <c r="AZ214" s="2">
        <v>12.9</v>
      </c>
      <c r="BA214" s="2">
        <v>28.1</v>
      </c>
      <c r="BB214" s="2">
        <v>21.2</v>
      </c>
      <c r="BC214" s="2">
        <v>35.4</v>
      </c>
      <c r="BD214" s="2">
        <v>39.1</v>
      </c>
      <c r="BE214" s="2">
        <v>42.9</v>
      </c>
      <c r="BF214" s="2">
        <v>44.7</v>
      </c>
      <c r="BG214" s="2">
        <v>50.5</v>
      </c>
      <c r="BH214" s="2">
        <v>55.1</v>
      </c>
      <c r="BI214" s="2">
        <v>58.2</v>
      </c>
      <c r="BJ214" s="2">
        <v>62.9</v>
      </c>
      <c r="BK214" s="2">
        <v>65.8</v>
      </c>
      <c r="BL214" s="2">
        <v>69.4</v>
      </c>
      <c r="BM214" s="2">
        <v>72.9</v>
      </c>
      <c r="BN214" s="2">
        <v>76.3</v>
      </c>
      <c r="BO214" s="2">
        <v>76.0</v>
      </c>
      <c r="BP214" s="2">
        <v>81.3</v>
      </c>
      <c r="BQ214" s="2">
        <v>81.5</v>
      </c>
      <c r="BS214" s="3" t="str">
        <f>VLOOKUP(B214, Metadata!A:B, 2, FALSE)</f>
        <v>East Asia &amp; Pacific</v>
      </c>
    </row>
    <row r="215">
      <c r="A215" s="2" t="s">
        <v>164</v>
      </c>
      <c r="B215" s="2" t="s">
        <v>165</v>
      </c>
      <c r="C215" s="2" t="s">
        <v>4</v>
      </c>
      <c r="D215" s="2" t="s">
        <v>5</v>
      </c>
      <c r="AS215" s="2">
        <v>7.7</v>
      </c>
      <c r="AT215" s="2">
        <v>8.5</v>
      </c>
      <c r="AU215" s="2">
        <v>9.2</v>
      </c>
      <c r="AV215" s="2">
        <v>9.9</v>
      </c>
      <c r="AW215" s="2">
        <v>16.8</v>
      </c>
      <c r="AX215" s="2">
        <v>11.3</v>
      </c>
      <c r="AY215" s="2">
        <v>12.2</v>
      </c>
      <c r="AZ215" s="2">
        <v>13.0</v>
      </c>
      <c r="BA215" s="2">
        <v>12.1</v>
      </c>
      <c r="BB215" s="2">
        <v>14.6</v>
      </c>
      <c r="BC215" s="2">
        <v>11.5</v>
      </c>
      <c r="BD215" s="2">
        <v>14.2</v>
      </c>
      <c r="BE215" s="2">
        <v>17.2</v>
      </c>
      <c r="BF215" s="2">
        <v>13.5</v>
      </c>
      <c r="BG215" s="2">
        <v>18.8</v>
      </c>
      <c r="BH215" s="2">
        <v>19.7</v>
      </c>
      <c r="BI215" s="2">
        <v>20.3</v>
      </c>
      <c r="BJ215" s="2">
        <v>23.4</v>
      </c>
      <c r="BK215" s="2">
        <v>26.1</v>
      </c>
      <c r="BL215" s="2">
        <v>22.7</v>
      </c>
      <c r="BM215" s="2">
        <v>26.3</v>
      </c>
      <c r="BN215" s="2">
        <v>27.5</v>
      </c>
      <c r="BO215" s="2">
        <v>29.4</v>
      </c>
      <c r="BP215" s="2">
        <v>35.5</v>
      </c>
      <c r="BQ215" s="2">
        <v>39.2</v>
      </c>
      <c r="BS215" s="3" t="str">
        <f>VLOOKUP(B215, Metadata!A:B, 2, FALSE)</f>
        <v>Sub-Saharan Africa</v>
      </c>
      <c r="BT215" s="3">
        <f>VLOOKUP(B211,Population!A:B,2,FALSE)*(1-BP211/100)</f>
        <v>17014548.94</v>
      </c>
    </row>
    <row r="216" hidden="1">
      <c r="A216" s="2" t="s">
        <v>499</v>
      </c>
      <c r="B216" s="2" t="s">
        <v>343</v>
      </c>
      <c r="C216" s="2" t="s">
        <v>4</v>
      </c>
      <c r="D216" s="2" t="s">
        <v>5</v>
      </c>
      <c r="AJ216" s="2">
        <v>69.60788</v>
      </c>
      <c r="AK216" s="2">
        <v>75.3321914672852</v>
      </c>
      <c r="AL216" s="2">
        <v>76.2761383056641</v>
      </c>
      <c r="AM216" s="2">
        <v>77.2187194824219</v>
      </c>
      <c r="AN216" s="2">
        <v>76.995504</v>
      </c>
      <c r="AO216" s="2">
        <v>77.883</v>
      </c>
      <c r="AP216" s="2">
        <v>80.0315170288086</v>
      </c>
      <c r="AQ216" s="2">
        <v>81.637983</v>
      </c>
      <c r="AR216" s="2">
        <v>79.129592</v>
      </c>
      <c r="AS216" s="2">
        <v>84.5</v>
      </c>
      <c r="AT216" s="2">
        <v>87.1</v>
      </c>
      <c r="AU216" s="2">
        <v>87.5</v>
      </c>
      <c r="AV216" s="2">
        <v>87.0</v>
      </c>
      <c r="AW216" s="2">
        <v>87.4</v>
      </c>
      <c r="AX216" s="2">
        <v>87.5</v>
      </c>
      <c r="AY216" s="2">
        <v>89.2</v>
      </c>
      <c r="AZ216" s="2">
        <v>91.1</v>
      </c>
      <c r="BA216" s="2">
        <v>91.0</v>
      </c>
      <c r="BB216" s="2">
        <v>91.1</v>
      </c>
      <c r="BC216" s="2">
        <v>91.6</v>
      </c>
      <c r="BD216" s="2">
        <v>92.6</v>
      </c>
      <c r="BE216" s="2">
        <v>93.7</v>
      </c>
      <c r="BF216" s="2">
        <v>95.0</v>
      </c>
      <c r="BG216" s="2">
        <v>95.1</v>
      </c>
      <c r="BH216" s="2">
        <v>95.4</v>
      </c>
      <c r="BI216" s="2">
        <v>96.0</v>
      </c>
      <c r="BJ216" s="2">
        <v>96.8</v>
      </c>
      <c r="BK216" s="2">
        <v>97.0</v>
      </c>
      <c r="BL216" s="2">
        <v>97.4</v>
      </c>
      <c r="BM216" s="2">
        <v>99.7</v>
      </c>
      <c r="BN216" s="2">
        <v>97.9</v>
      </c>
      <c r="BO216" s="2">
        <v>100.0</v>
      </c>
      <c r="BP216" s="2">
        <v>98.3</v>
      </c>
      <c r="BQ216" s="2">
        <v>98.7</v>
      </c>
      <c r="BS216" s="3" t="str">
        <f>VLOOKUP(B216, Metadata!A:B, 2, FALSE)</f>
        <v>Latin America &amp; Caribbean</v>
      </c>
    </row>
    <row r="217" hidden="1">
      <c r="A217" s="2" t="s">
        <v>500</v>
      </c>
      <c r="B217" s="2" t="s">
        <v>344</v>
      </c>
      <c r="C217" s="2" t="s">
        <v>4</v>
      </c>
      <c r="D217" s="2" t="s">
        <v>5</v>
      </c>
      <c r="AI217" s="2">
        <v>100.0</v>
      </c>
      <c r="AJ217" s="2">
        <v>100.0</v>
      </c>
      <c r="AK217" s="2">
        <v>100.0</v>
      </c>
      <c r="AL217" s="2">
        <v>100.0</v>
      </c>
      <c r="AM217" s="2">
        <v>100.0</v>
      </c>
      <c r="AN217" s="2">
        <v>100.0</v>
      </c>
      <c r="AO217" s="2">
        <v>100.0</v>
      </c>
      <c r="AP217" s="2">
        <v>100.0</v>
      </c>
      <c r="AQ217" s="2">
        <v>100.0</v>
      </c>
      <c r="AR217" s="2">
        <v>100.0</v>
      </c>
      <c r="AS217" s="2">
        <v>100.0</v>
      </c>
      <c r="AT217" s="2">
        <v>100.0</v>
      </c>
      <c r="AU217" s="2">
        <v>100.0</v>
      </c>
      <c r="AV217" s="2">
        <v>100.0</v>
      </c>
      <c r="AW217" s="2">
        <v>100.0</v>
      </c>
      <c r="AX217" s="2">
        <v>100.0</v>
      </c>
      <c r="AY217" s="2">
        <v>100.0</v>
      </c>
      <c r="AZ217" s="2">
        <v>100.0</v>
      </c>
      <c r="BA217" s="2">
        <v>100.0</v>
      </c>
      <c r="BB217" s="2">
        <v>100.0</v>
      </c>
      <c r="BC217" s="2">
        <v>100.0</v>
      </c>
      <c r="BD217" s="2">
        <v>100.0</v>
      </c>
      <c r="BE217" s="2">
        <v>100.0</v>
      </c>
      <c r="BF217" s="2">
        <v>100.0</v>
      </c>
      <c r="BG217" s="2">
        <v>100.0</v>
      </c>
      <c r="BH217" s="2">
        <v>100.0</v>
      </c>
      <c r="BI217" s="2">
        <v>100.0</v>
      </c>
      <c r="BJ217" s="2">
        <v>100.0</v>
      </c>
      <c r="BK217" s="2">
        <v>100.0</v>
      </c>
      <c r="BL217" s="2">
        <v>100.0</v>
      </c>
      <c r="BM217" s="2">
        <v>100.0</v>
      </c>
      <c r="BN217" s="2">
        <v>100.0</v>
      </c>
      <c r="BO217" s="2">
        <v>100.0</v>
      </c>
      <c r="BP217" s="2">
        <v>100.0</v>
      </c>
      <c r="BQ217" s="2">
        <v>100.0</v>
      </c>
      <c r="BS217" s="3" t="str">
        <f>VLOOKUP(B217, Metadata!A:B, 2, FALSE)</f>
        <v>Europe &amp; Central Asia</v>
      </c>
    </row>
    <row r="218">
      <c r="A218" s="2" t="s">
        <v>200</v>
      </c>
      <c r="B218" s="2" t="s">
        <v>201</v>
      </c>
      <c r="C218" s="2" t="s">
        <v>4</v>
      </c>
      <c r="D218" s="2" t="s">
        <v>5</v>
      </c>
      <c r="AS218" s="2">
        <v>2.1</v>
      </c>
      <c r="AT218" s="2">
        <v>4.7</v>
      </c>
      <c r="AU218" s="2">
        <v>7.4</v>
      </c>
      <c r="AV218" s="2">
        <v>9.8</v>
      </c>
      <c r="AW218" s="2">
        <v>12.4</v>
      </c>
      <c r="AX218" s="2">
        <v>15.0</v>
      </c>
      <c r="AY218" s="2">
        <v>15.2</v>
      </c>
      <c r="AZ218" s="2">
        <v>20.2</v>
      </c>
      <c r="BA218" s="2">
        <v>22.9</v>
      </c>
      <c r="BB218" s="2">
        <v>25.5</v>
      </c>
      <c r="BC218" s="2">
        <v>52.3</v>
      </c>
      <c r="BD218" s="2">
        <v>52.0</v>
      </c>
      <c r="BE218" s="2">
        <v>51.8</v>
      </c>
      <c r="BF218" s="2">
        <v>51.5</v>
      </c>
      <c r="BG218" s="2">
        <v>51.4</v>
      </c>
      <c r="BH218" s="2">
        <v>51.2</v>
      </c>
      <c r="BI218" s="2">
        <v>51.1</v>
      </c>
      <c r="BJ218" s="2">
        <v>52.1</v>
      </c>
      <c r="BK218" s="2">
        <v>50.7</v>
      </c>
      <c r="BL218" s="2">
        <v>49.2</v>
      </c>
      <c r="BM218" s="2">
        <v>49.9</v>
      </c>
      <c r="BN218" s="2">
        <v>49.3</v>
      </c>
      <c r="BO218" s="2">
        <v>48.9</v>
      </c>
      <c r="BP218" s="2">
        <v>50.3</v>
      </c>
      <c r="BQ218" s="2">
        <v>54.4</v>
      </c>
      <c r="BS218" s="3" t="str">
        <f>VLOOKUP(B218, Metadata!A:B, 2, FALSE)</f>
        <v>Sub-Saharan Africa</v>
      </c>
      <c r="BT218" s="3">
        <f>VLOOKUP(B214,Population!A:B,2,FALSE)*(1-BP214/100)</f>
        <v>149600.935</v>
      </c>
    </row>
    <row r="219" hidden="1">
      <c r="A219" s="2" t="s">
        <v>501</v>
      </c>
      <c r="B219" s="2" t="s">
        <v>345</v>
      </c>
      <c r="C219" s="2" t="s">
        <v>4</v>
      </c>
      <c r="D219" s="2" t="s">
        <v>5</v>
      </c>
      <c r="AI219" s="2">
        <v>100.0</v>
      </c>
      <c r="AJ219" s="2">
        <v>100.0</v>
      </c>
      <c r="AK219" s="2">
        <v>100.0</v>
      </c>
      <c r="AL219" s="2">
        <v>100.0</v>
      </c>
      <c r="AM219" s="2">
        <v>100.0</v>
      </c>
      <c r="AN219" s="2">
        <v>100.0</v>
      </c>
      <c r="AO219" s="2">
        <v>100.0</v>
      </c>
      <c r="AP219" s="2">
        <v>100.0</v>
      </c>
      <c r="AQ219" s="2">
        <v>100.0</v>
      </c>
      <c r="AR219" s="2">
        <v>100.0</v>
      </c>
      <c r="AS219" s="2">
        <v>99.9</v>
      </c>
      <c r="AT219" s="2">
        <v>99.8</v>
      </c>
      <c r="AU219" s="2">
        <v>100.0</v>
      </c>
      <c r="AV219" s="2">
        <v>99.7</v>
      </c>
      <c r="AW219" s="2">
        <v>99.6</v>
      </c>
      <c r="AX219" s="2">
        <v>99.7</v>
      </c>
      <c r="AY219" s="2">
        <v>99.6</v>
      </c>
      <c r="AZ219" s="2">
        <v>99.6</v>
      </c>
      <c r="BA219" s="2">
        <v>99.6</v>
      </c>
      <c r="BB219" s="2">
        <v>99.6</v>
      </c>
      <c r="BC219" s="2">
        <v>99.7</v>
      </c>
      <c r="BD219" s="2">
        <v>99.7</v>
      </c>
      <c r="BE219" s="2">
        <v>99.8</v>
      </c>
      <c r="BF219" s="2">
        <v>99.9</v>
      </c>
      <c r="BG219" s="2">
        <v>99.7</v>
      </c>
      <c r="BH219" s="2">
        <v>99.9</v>
      </c>
      <c r="BI219" s="2">
        <v>99.9</v>
      </c>
      <c r="BJ219" s="2">
        <v>100.0</v>
      </c>
      <c r="BK219" s="2">
        <v>100.0</v>
      </c>
      <c r="BL219" s="2">
        <v>99.8</v>
      </c>
      <c r="BM219" s="2">
        <v>100.0</v>
      </c>
      <c r="BN219" s="2">
        <v>100.0</v>
      </c>
      <c r="BO219" s="2">
        <v>100.0</v>
      </c>
      <c r="BP219" s="2">
        <v>100.0</v>
      </c>
      <c r="BQ219" s="2">
        <v>100.0</v>
      </c>
      <c r="BS219" s="3" t="str">
        <f>VLOOKUP(B219, Metadata!A:B, 2, FALSE)</f>
        <v>Europe &amp; Central Asia</v>
      </c>
    </row>
    <row r="220" hidden="1">
      <c r="A220" s="2" t="s">
        <v>502</v>
      </c>
      <c r="B220" s="2" t="s">
        <v>346</v>
      </c>
      <c r="C220" s="2" t="s">
        <v>4</v>
      </c>
      <c r="D220" s="2" t="s">
        <v>5</v>
      </c>
      <c r="AO220" s="2">
        <v>28.5005514724652</v>
      </c>
      <c r="AP220" s="2">
        <v>28.3528465156675</v>
      </c>
      <c r="AQ220" s="2">
        <v>28.5577844278461</v>
      </c>
      <c r="AR220" s="2">
        <v>30.1387002534149</v>
      </c>
      <c r="AS220" s="2">
        <v>25.6971210663857</v>
      </c>
      <c r="AT220" s="2">
        <v>26.1561715008917</v>
      </c>
      <c r="AU220" s="2">
        <v>27.3316477930979</v>
      </c>
      <c r="AV220" s="2">
        <v>29.5890739978854</v>
      </c>
      <c r="AW220" s="2">
        <v>29.3653058196257</v>
      </c>
      <c r="AX220" s="2">
        <v>29.3445091012333</v>
      </c>
      <c r="AY220" s="2">
        <v>31.196220881801</v>
      </c>
      <c r="AZ220" s="2">
        <v>32.512764543462</v>
      </c>
      <c r="BA220" s="2">
        <v>32.3970735345555</v>
      </c>
      <c r="BB220" s="2">
        <v>32.6194886221914</v>
      </c>
      <c r="BC220" s="2">
        <v>33.3300093882027</v>
      </c>
      <c r="BD220" s="2">
        <v>35.8931824758725</v>
      </c>
      <c r="BE220" s="2">
        <v>36.769425653924</v>
      </c>
      <c r="BF220" s="2">
        <v>38.0249592064952</v>
      </c>
      <c r="BG220" s="2">
        <v>38.3448910796734</v>
      </c>
      <c r="BH220" s="2">
        <v>39.1909298102007</v>
      </c>
      <c r="BI220" s="2">
        <v>43.8232546101961</v>
      </c>
      <c r="BJ220" s="2">
        <v>43.7549547695956</v>
      </c>
      <c r="BK220" s="2">
        <v>46.4094139121308</v>
      </c>
      <c r="BL220" s="2">
        <v>47.1889611753106</v>
      </c>
      <c r="BM220" s="2">
        <v>48.5365084034364</v>
      </c>
      <c r="BN220" s="2">
        <v>50.6485899183237</v>
      </c>
      <c r="BO220" s="2">
        <v>51.5030975279241</v>
      </c>
      <c r="BP220" s="2">
        <v>53.2463204690134</v>
      </c>
      <c r="BQ220" s="2">
        <v>55.1061307522528</v>
      </c>
      <c r="BS220" s="3" t="str">
        <f>VLOOKUP(B220, Metadata!A:B, 2, FALSE)</f>
        <v/>
      </c>
    </row>
    <row r="221">
      <c r="A221" s="2" t="s">
        <v>28</v>
      </c>
      <c r="B221" s="2" t="s">
        <v>29</v>
      </c>
      <c r="C221" s="2" t="s">
        <v>4</v>
      </c>
      <c r="D221" s="2" t="s">
        <v>5</v>
      </c>
      <c r="AZ221" s="2">
        <v>0.8</v>
      </c>
      <c r="BA221" s="2">
        <v>1.3</v>
      </c>
      <c r="BB221" s="2">
        <v>3.0</v>
      </c>
      <c r="BC221" s="2">
        <v>1.5</v>
      </c>
      <c r="BD221" s="2">
        <v>2.8</v>
      </c>
      <c r="BE221" s="2">
        <v>3.3</v>
      </c>
      <c r="BF221" s="2">
        <v>3.8</v>
      </c>
      <c r="BG221" s="2">
        <v>4.3</v>
      </c>
      <c r="BH221" s="2">
        <v>4.8</v>
      </c>
      <c r="BI221" s="2">
        <v>5.3</v>
      </c>
      <c r="BJ221" s="2">
        <v>4.2</v>
      </c>
      <c r="BK221" s="2">
        <v>6.3</v>
      </c>
      <c r="BL221" s="2">
        <v>6.8</v>
      </c>
      <c r="BM221" s="2">
        <v>7.3</v>
      </c>
      <c r="BN221" s="2">
        <v>7.7</v>
      </c>
      <c r="BO221" s="2">
        <v>8.4</v>
      </c>
      <c r="BP221" s="2">
        <v>5.4</v>
      </c>
      <c r="BQ221" s="2">
        <v>5.4</v>
      </c>
      <c r="BS221" s="3" t="str">
        <f>VLOOKUP(B221, Metadata!A:B, 2, FALSE)</f>
        <v>Sub-Saharan Africa</v>
      </c>
      <c r="BT221" s="3">
        <f>VLOOKUP(B217,Population!A:B,2,FALSE)*(1-BP217/100)</f>
        <v>0</v>
      </c>
    </row>
    <row r="222" hidden="1">
      <c r="A222" s="2" t="s">
        <v>6</v>
      </c>
      <c r="B222" s="2" t="s">
        <v>347</v>
      </c>
      <c r="C222" s="2" t="s">
        <v>4</v>
      </c>
      <c r="D222" s="2" t="s">
        <v>5</v>
      </c>
      <c r="AO222" s="2">
        <v>28.5123843828768</v>
      </c>
      <c r="AP222" s="2">
        <v>28.3636336834061</v>
      </c>
      <c r="AQ222" s="2">
        <v>28.5684460215178</v>
      </c>
      <c r="AR222" s="2">
        <v>30.148932101517</v>
      </c>
      <c r="AS222" s="2">
        <v>25.7053969564838</v>
      </c>
      <c r="AT222" s="2">
        <v>26.1642186852803</v>
      </c>
      <c r="AU222" s="2">
        <v>27.3397731379138</v>
      </c>
      <c r="AV222" s="2">
        <v>29.5965015810781</v>
      </c>
      <c r="AW222" s="2">
        <v>29.3725662739367</v>
      </c>
      <c r="AX222" s="2">
        <v>29.3516433048232</v>
      </c>
      <c r="AY222" s="2">
        <v>31.2034877715293</v>
      </c>
      <c r="AZ222" s="2">
        <v>32.5193334285169</v>
      </c>
      <c r="BA222" s="2">
        <v>32.4036605998828</v>
      </c>
      <c r="BB222" s="2">
        <v>32.6259292020567</v>
      </c>
      <c r="BC222" s="2">
        <v>33.3364008805919</v>
      </c>
      <c r="BD222" s="2">
        <v>35.8991006065751</v>
      </c>
      <c r="BE222" s="2">
        <v>36.7751781158828</v>
      </c>
      <c r="BF222" s="2">
        <v>38.0305164719493</v>
      </c>
      <c r="BG222" s="2">
        <v>38.3505383635735</v>
      </c>
      <c r="BH222" s="2">
        <v>39.1964738206413</v>
      </c>
      <c r="BI222" s="2">
        <v>43.8283095558868</v>
      </c>
      <c r="BJ222" s="2">
        <v>43.7599451875648</v>
      </c>
      <c r="BK222" s="2">
        <v>46.4140889472825</v>
      </c>
      <c r="BL222" s="2">
        <v>47.1934897675941</v>
      </c>
      <c r="BM222" s="2">
        <v>48.5408462612868</v>
      </c>
      <c r="BN222" s="2">
        <v>50.6526785971142</v>
      </c>
      <c r="BO222" s="2">
        <v>51.5078310982515</v>
      </c>
      <c r="BP222" s="2">
        <v>53.2507689805499</v>
      </c>
      <c r="BQ222" s="2">
        <v>55.1103542559</v>
      </c>
      <c r="BS222" s="3" t="str">
        <f>VLOOKUP(B222, Metadata!A:B, 2, FALSE)</f>
        <v/>
      </c>
    </row>
    <row r="223" hidden="1">
      <c r="A223" s="2" t="s">
        <v>503</v>
      </c>
      <c r="B223" s="2" t="s">
        <v>348</v>
      </c>
      <c r="C223" s="2" t="s">
        <v>4</v>
      </c>
      <c r="D223" s="2" t="s">
        <v>5</v>
      </c>
      <c r="AR223" s="2">
        <v>83.6755112496449</v>
      </c>
      <c r="AS223" s="2">
        <v>73.4020901464083</v>
      </c>
      <c r="AT223" s="2">
        <v>75.1545680906373</v>
      </c>
      <c r="AU223" s="2">
        <v>74.9680247255988</v>
      </c>
      <c r="AV223" s="2">
        <v>75.7916539602275</v>
      </c>
      <c r="AW223" s="2">
        <v>76.8496925221964</v>
      </c>
      <c r="AX223" s="2">
        <v>77.6783676254051</v>
      </c>
      <c r="AY223" s="2">
        <v>78.1006771419422</v>
      </c>
      <c r="AZ223" s="2">
        <v>79.5807349251648</v>
      </c>
      <c r="BA223" s="2">
        <v>80.5950689227549</v>
      </c>
      <c r="BB223" s="2">
        <v>80.4229826422579</v>
      </c>
      <c r="BC223" s="2">
        <v>82.199729744185</v>
      </c>
      <c r="BD223" s="2">
        <v>83.906240710336</v>
      </c>
      <c r="BE223" s="2">
        <v>84.8243310625176</v>
      </c>
      <c r="BF223" s="2">
        <v>85.2704808451356</v>
      </c>
      <c r="BG223" s="2">
        <v>86.7735637831097</v>
      </c>
      <c r="BH223" s="2">
        <v>87.6813928879402</v>
      </c>
      <c r="BI223" s="2">
        <v>88.8486713357501</v>
      </c>
      <c r="BJ223" s="2">
        <v>90.1550278534803</v>
      </c>
      <c r="BK223" s="2">
        <v>90.9647335432231</v>
      </c>
      <c r="BL223" s="2">
        <v>92.0919222790738</v>
      </c>
      <c r="BM223" s="2">
        <v>93.1195945831784</v>
      </c>
      <c r="BN223" s="2">
        <v>93.7468179373385</v>
      </c>
      <c r="BO223" s="2">
        <v>93.826993722259</v>
      </c>
      <c r="BP223" s="2">
        <v>94.7947483488559</v>
      </c>
      <c r="BQ223" s="2">
        <v>94.5704846062365</v>
      </c>
      <c r="BS223" s="3" t="str">
        <f>VLOOKUP(B223, Metadata!A:B, 2, FALSE)</f>
        <v/>
      </c>
    </row>
    <row r="224">
      <c r="A224" s="2" t="s">
        <v>108</v>
      </c>
      <c r="B224" s="2" t="s">
        <v>109</v>
      </c>
      <c r="C224" s="2" t="s">
        <v>4</v>
      </c>
      <c r="D224" s="2" t="s">
        <v>5</v>
      </c>
      <c r="AS224" s="2">
        <v>52.9</v>
      </c>
      <c r="AT224" s="2">
        <v>51.5</v>
      </c>
      <c r="AU224" s="2">
        <v>52.5</v>
      </c>
      <c r="AV224" s="2">
        <v>53.6</v>
      </c>
      <c r="AW224" s="2">
        <v>54.7</v>
      </c>
      <c r="AX224" s="2">
        <v>55.8</v>
      </c>
      <c r="AY224" s="2">
        <v>56.9</v>
      </c>
      <c r="AZ224" s="2">
        <v>58.0</v>
      </c>
      <c r="BA224" s="2">
        <v>59.1</v>
      </c>
      <c r="BB224" s="2">
        <v>56.9</v>
      </c>
      <c r="BC224" s="2">
        <v>61.4</v>
      </c>
      <c r="BD224" s="2">
        <v>62.6</v>
      </c>
      <c r="BE224" s="2">
        <v>57.9</v>
      </c>
      <c r="BF224" s="2">
        <v>65.0</v>
      </c>
      <c r="BG224" s="2">
        <v>68.6</v>
      </c>
      <c r="BH224" s="2">
        <v>67.3</v>
      </c>
      <c r="BI224" s="2">
        <v>69.4</v>
      </c>
      <c r="BJ224" s="2">
        <v>74.3</v>
      </c>
      <c r="BK224" s="2">
        <v>71.0</v>
      </c>
      <c r="BL224" s="2">
        <v>75.1</v>
      </c>
      <c r="BM224" s="2">
        <v>76.8</v>
      </c>
      <c r="BN224" s="2">
        <v>78.5</v>
      </c>
      <c r="BO224" s="2">
        <v>78.0</v>
      </c>
      <c r="BP224" s="2">
        <v>81.3</v>
      </c>
      <c r="BQ224" s="2">
        <v>77.7</v>
      </c>
      <c r="BS224" s="3" t="str">
        <f>VLOOKUP(B224, Metadata!A:B, 2, FALSE)</f>
        <v>Sub-Saharan Africa</v>
      </c>
      <c r="BT224" s="3">
        <f>VLOOKUP(B220,Population!A:B,2,FALSE)*(1-BP220/100)</f>
        <v>588483748.2</v>
      </c>
    </row>
    <row r="225" hidden="1">
      <c r="A225" s="2" t="s">
        <v>504</v>
      </c>
      <c r="B225" s="2" t="s">
        <v>349</v>
      </c>
      <c r="C225" s="2" t="s">
        <v>4</v>
      </c>
      <c r="D225" s="2" t="s">
        <v>5</v>
      </c>
      <c r="AR225" s="2">
        <v>99.62406</v>
      </c>
      <c r="AS225" s="2">
        <v>95.4</v>
      </c>
      <c r="AT225" s="2">
        <v>95.3</v>
      </c>
      <c r="AU225" s="2">
        <v>95.2</v>
      </c>
      <c r="AV225" s="2">
        <v>95.1</v>
      </c>
      <c r="AW225" s="2">
        <v>95.0</v>
      </c>
      <c r="AX225" s="2">
        <v>94.9</v>
      </c>
      <c r="AY225" s="2">
        <v>91.0</v>
      </c>
      <c r="AZ225" s="2">
        <v>94.7</v>
      </c>
      <c r="BA225" s="2">
        <v>94.7</v>
      </c>
      <c r="BB225" s="2">
        <v>94.6</v>
      </c>
      <c r="BC225" s="2">
        <v>91.2</v>
      </c>
      <c r="BD225" s="2">
        <v>94.6</v>
      </c>
      <c r="BE225" s="2">
        <v>94.6</v>
      </c>
      <c r="BF225" s="2">
        <v>94.6</v>
      </c>
      <c r="BG225" s="2">
        <v>94.6</v>
      </c>
      <c r="BH225" s="2">
        <v>95.0</v>
      </c>
      <c r="BI225" s="2">
        <v>95.8</v>
      </c>
      <c r="BJ225" s="2">
        <v>96.6</v>
      </c>
      <c r="BK225" s="2">
        <v>97.4</v>
      </c>
      <c r="BL225" s="2">
        <v>97.9</v>
      </c>
      <c r="BM225" s="2">
        <v>98.4</v>
      </c>
      <c r="BN225" s="2">
        <v>98.8</v>
      </c>
      <c r="BO225" s="2">
        <v>99.0</v>
      </c>
      <c r="BP225" s="2">
        <v>99.6</v>
      </c>
      <c r="BQ225" s="2">
        <v>99.0</v>
      </c>
      <c r="BS225" s="3" t="str">
        <f>VLOOKUP(B225, Metadata!A:B, 2, FALSE)</f>
        <v>Latin America &amp; Caribbean</v>
      </c>
    </row>
    <row r="226" hidden="1">
      <c r="A226" s="2" t="s">
        <v>505</v>
      </c>
      <c r="B226" s="2" t="s">
        <v>350</v>
      </c>
      <c r="C226" s="2" t="s">
        <v>4</v>
      </c>
      <c r="D226" s="2" t="s">
        <v>5</v>
      </c>
      <c r="AI226" s="2">
        <v>100.0</v>
      </c>
      <c r="AJ226" s="2">
        <v>100.0</v>
      </c>
      <c r="AK226" s="2">
        <v>100.0</v>
      </c>
      <c r="AL226" s="2">
        <v>100.0</v>
      </c>
      <c r="AM226" s="2">
        <v>100.0</v>
      </c>
      <c r="AN226" s="2">
        <v>100.0</v>
      </c>
      <c r="AO226" s="2">
        <v>100.0</v>
      </c>
      <c r="AP226" s="2">
        <v>100.0</v>
      </c>
      <c r="AQ226" s="2">
        <v>100.0</v>
      </c>
      <c r="AR226" s="2">
        <v>100.0</v>
      </c>
      <c r="AS226" s="2">
        <v>100.0</v>
      </c>
      <c r="AT226" s="2">
        <v>100.0</v>
      </c>
      <c r="AU226" s="2">
        <v>100.0</v>
      </c>
      <c r="AV226" s="2">
        <v>100.0</v>
      </c>
      <c r="AW226" s="2">
        <v>100.0</v>
      </c>
      <c r="AX226" s="2">
        <v>99.9</v>
      </c>
      <c r="AY226" s="2">
        <v>99.9</v>
      </c>
      <c r="AZ226" s="2">
        <v>100.0</v>
      </c>
      <c r="BA226" s="2">
        <v>100.0</v>
      </c>
      <c r="BB226" s="2">
        <v>100.0</v>
      </c>
      <c r="BC226" s="2">
        <v>100.0</v>
      </c>
      <c r="BD226" s="2">
        <v>100.0</v>
      </c>
      <c r="BE226" s="2">
        <v>100.0</v>
      </c>
      <c r="BF226" s="2">
        <v>100.0</v>
      </c>
      <c r="BG226" s="2">
        <v>100.0</v>
      </c>
      <c r="BH226" s="2">
        <v>100.0</v>
      </c>
      <c r="BI226" s="2">
        <v>100.0</v>
      </c>
      <c r="BJ226" s="2">
        <v>100.0</v>
      </c>
      <c r="BK226" s="2">
        <v>100.0</v>
      </c>
      <c r="BL226" s="2">
        <v>100.0</v>
      </c>
      <c r="BM226" s="2">
        <v>100.0</v>
      </c>
      <c r="BN226" s="2">
        <v>100.0</v>
      </c>
      <c r="BO226" s="2">
        <v>100.0</v>
      </c>
      <c r="BP226" s="2">
        <v>100.0</v>
      </c>
      <c r="BQ226" s="2">
        <v>100.0</v>
      </c>
      <c r="BS226" s="3" t="str">
        <f>VLOOKUP(B226, Metadata!A:B, 2, FALSE)</f>
        <v>Europe &amp; Central Asia</v>
      </c>
    </row>
    <row r="227" hidden="1">
      <c r="A227" s="2" t="s">
        <v>506</v>
      </c>
      <c r="B227" s="2" t="s">
        <v>351</v>
      </c>
      <c r="C227" s="2" t="s">
        <v>4</v>
      </c>
      <c r="D227" s="2" t="s">
        <v>5</v>
      </c>
      <c r="AI227" s="2">
        <v>100.0</v>
      </c>
      <c r="AJ227" s="2">
        <v>100.0</v>
      </c>
      <c r="AK227" s="2">
        <v>100.0</v>
      </c>
      <c r="AL227" s="2">
        <v>100.0</v>
      </c>
      <c r="AM227" s="2">
        <v>100.0</v>
      </c>
      <c r="AN227" s="2">
        <v>100.0</v>
      </c>
      <c r="AO227" s="2">
        <v>100.0</v>
      </c>
      <c r="AP227" s="2">
        <v>100.0</v>
      </c>
      <c r="AQ227" s="2">
        <v>100.0</v>
      </c>
      <c r="AR227" s="2">
        <v>100.0</v>
      </c>
      <c r="AS227" s="2">
        <v>100.0</v>
      </c>
      <c r="AT227" s="2">
        <v>100.0</v>
      </c>
      <c r="AU227" s="2">
        <v>100.0</v>
      </c>
      <c r="AV227" s="2">
        <v>100.0</v>
      </c>
      <c r="AW227" s="2">
        <v>100.0</v>
      </c>
      <c r="AX227" s="2">
        <v>100.0</v>
      </c>
      <c r="AY227" s="2">
        <v>100.0</v>
      </c>
      <c r="AZ227" s="2">
        <v>100.0</v>
      </c>
      <c r="BA227" s="2">
        <v>100.0</v>
      </c>
      <c r="BB227" s="2">
        <v>100.0</v>
      </c>
      <c r="BC227" s="2">
        <v>100.0</v>
      </c>
      <c r="BD227" s="2">
        <v>100.0</v>
      </c>
      <c r="BE227" s="2">
        <v>100.0</v>
      </c>
      <c r="BF227" s="2">
        <v>100.0</v>
      </c>
      <c r="BG227" s="2">
        <v>100.0</v>
      </c>
      <c r="BH227" s="2">
        <v>100.0</v>
      </c>
      <c r="BI227" s="2">
        <v>100.0</v>
      </c>
      <c r="BJ227" s="2">
        <v>100.0</v>
      </c>
      <c r="BK227" s="2">
        <v>100.0</v>
      </c>
      <c r="BL227" s="2">
        <v>100.0</v>
      </c>
      <c r="BM227" s="2">
        <v>100.0</v>
      </c>
      <c r="BN227" s="2">
        <v>100.0</v>
      </c>
      <c r="BO227" s="2">
        <v>100.0</v>
      </c>
      <c r="BP227" s="2">
        <v>100.0</v>
      </c>
      <c r="BQ227" s="2">
        <v>100.0</v>
      </c>
      <c r="BS227" s="3" t="str">
        <f>VLOOKUP(B227, Metadata!A:B, 2, FALSE)</f>
        <v>Europe &amp; Central Asia</v>
      </c>
    </row>
    <row r="228" hidden="1">
      <c r="A228" s="2" t="s">
        <v>507</v>
      </c>
      <c r="B228" s="2" t="s">
        <v>352</v>
      </c>
      <c r="C228" s="2" t="s">
        <v>4</v>
      </c>
      <c r="D228" s="2" t="s">
        <v>5</v>
      </c>
      <c r="AI228" s="2">
        <v>100.0</v>
      </c>
      <c r="AJ228" s="2">
        <v>100.0</v>
      </c>
      <c r="AK228" s="2">
        <v>100.0</v>
      </c>
      <c r="AL228" s="2">
        <v>100.0</v>
      </c>
      <c r="AM228" s="2">
        <v>100.0</v>
      </c>
      <c r="AN228" s="2">
        <v>100.0</v>
      </c>
      <c r="AO228" s="2">
        <v>100.0</v>
      </c>
      <c r="AP228" s="2">
        <v>100.0</v>
      </c>
      <c r="AQ228" s="2">
        <v>100.0</v>
      </c>
      <c r="AR228" s="2">
        <v>100.0</v>
      </c>
      <c r="AS228" s="2">
        <v>100.0</v>
      </c>
      <c r="AT228" s="2">
        <v>100.0</v>
      </c>
      <c r="AU228" s="2">
        <v>100.0</v>
      </c>
      <c r="AV228" s="2">
        <v>100.0</v>
      </c>
      <c r="AW228" s="2">
        <v>100.0</v>
      </c>
      <c r="AX228" s="2">
        <v>100.0</v>
      </c>
      <c r="AY228" s="2">
        <v>100.0</v>
      </c>
      <c r="AZ228" s="2">
        <v>100.0</v>
      </c>
      <c r="BA228" s="2">
        <v>100.0</v>
      </c>
      <c r="BB228" s="2">
        <v>100.0</v>
      </c>
      <c r="BC228" s="2">
        <v>100.0</v>
      </c>
      <c r="BD228" s="2">
        <v>100.0</v>
      </c>
      <c r="BE228" s="2">
        <v>100.0</v>
      </c>
      <c r="BF228" s="2">
        <v>100.0</v>
      </c>
      <c r="BG228" s="2">
        <v>100.0</v>
      </c>
      <c r="BH228" s="2">
        <v>100.0</v>
      </c>
      <c r="BI228" s="2">
        <v>100.0</v>
      </c>
      <c r="BJ228" s="2">
        <v>100.0</v>
      </c>
      <c r="BK228" s="2">
        <v>100.0</v>
      </c>
      <c r="BL228" s="2">
        <v>100.0</v>
      </c>
      <c r="BM228" s="2">
        <v>100.0</v>
      </c>
      <c r="BN228" s="2">
        <v>100.0</v>
      </c>
      <c r="BO228" s="2">
        <v>100.0</v>
      </c>
      <c r="BP228" s="2">
        <v>100.0</v>
      </c>
      <c r="BQ228" s="2">
        <v>100.0</v>
      </c>
      <c r="BS228" s="3" t="str">
        <f>VLOOKUP(B228, Metadata!A:B, 2, FALSE)</f>
        <v>Europe &amp; Central Asia</v>
      </c>
    </row>
    <row r="229">
      <c r="A229" s="2" t="s">
        <v>76</v>
      </c>
      <c r="B229" s="2" t="s">
        <v>77</v>
      </c>
      <c r="C229" s="2" t="s">
        <v>4</v>
      </c>
      <c r="D229" s="2" t="s">
        <v>5</v>
      </c>
      <c r="AS229" s="2">
        <v>20.4</v>
      </c>
      <c r="AT229" s="2">
        <v>26.9</v>
      </c>
      <c r="AU229" s="2">
        <v>25.9</v>
      </c>
      <c r="AV229" s="2">
        <v>28.7</v>
      </c>
      <c r="AW229" s="2">
        <v>31.4</v>
      </c>
      <c r="AX229" s="2">
        <v>34.2</v>
      </c>
      <c r="AY229" s="2">
        <v>35.2</v>
      </c>
      <c r="AZ229" s="2">
        <v>39.8</v>
      </c>
      <c r="BA229" s="2">
        <v>42.6</v>
      </c>
      <c r="BB229" s="2">
        <v>38.6</v>
      </c>
      <c r="BC229" s="2">
        <v>45.6</v>
      </c>
      <c r="BD229" s="2">
        <v>51.2</v>
      </c>
      <c r="BE229" s="2">
        <v>54.3</v>
      </c>
      <c r="BF229" s="2">
        <v>57.5</v>
      </c>
      <c r="BG229" s="2">
        <v>65.0</v>
      </c>
      <c r="BH229" s="2">
        <v>64.1</v>
      </c>
      <c r="BI229" s="2">
        <v>63.4</v>
      </c>
      <c r="BJ229" s="2">
        <v>73.5</v>
      </c>
      <c r="BK229" s="2">
        <v>74.0</v>
      </c>
      <c r="BL229" s="2">
        <v>77.0</v>
      </c>
      <c r="BM229" s="2">
        <v>80.0</v>
      </c>
      <c r="BN229" s="2">
        <v>82.9</v>
      </c>
      <c r="BO229" s="2">
        <v>82.3</v>
      </c>
      <c r="BP229" s="2">
        <v>86.4</v>
      </c>
      <c r="BQ229" s="2">
        <v>89.3</v>
      </c>
      <c r="BS229" s="3" t="str">
        <f>VLOOKUP(B229, Metadata!A:B, 2, FALSE)</f>
        <v>Sub-Saharan Africa</v>
      </c>
      <c r="BT229" s="3">
        <f>VLOOKUP(B225,Population!A:B,2,FALSE)*(1-BP225/100)</f>
        <v>2515.544</v>
      </c>
    </row>
    <row r="230" hidden="1">
      <c r="A230" s="2" t="s">
        <v>508</v>
      </c>
      <c r="B230" s="2" t="s">
        <v>353</v>
      </c>
      <c r="C230" s="2" t="s">
        <v>4</v>
      </c>
      <c r="D230" s="2" t="s">
        <v>5</v>
      </c>
      <c r="AI230" s="2">
        <v>100.0</v>
      </c>
      <c r="AJ230" s="2">
        <v>100.0</v>
      </c>
      <c r="AK230" s="2">
        <v>100.0</v>
      </c>
      <c r="AL230" s="2">
        <v>100.0</v>
      </c>
      <c r="AM230" s="2">
        <v>100.0</v>
      </c>
      <c r="AN230" s="2">
        <v>100.0</v>
      </c>
      <c r="AO230" s="2">
        <v>100.0</v>
      </c>
      <c r="AP230" s="2">
        <v>100.0</v>
      </c>
      <c r="AQ230" s="2">
        <v>100.0</v>
      </c>
      <c r="AR230" s="2">
        <v>100.0</v>
      </c>
      <c r="AS230" s="2">
        <v>100.0</v>
      </c>
      <c r="AT230" s="2">
        <v>99.9</v>
      </c>
      <c r="AU230" s="2">
        <v>99.9</v>
      </c>
      <c r="AV230" s="2">
        <v>99.8</v>
      </c>
      <c r="AW230" s="2">
        <v>99.8</v>
      </c>
      <c r="AX230" s="2">
        <v>99.7</v>
      </c>
      <c r="AY230" s="2">
        <v>99.7</v>
      </c>
      <c r="AZ230" s="2">
        <v>99.7</v>
      </c>
      <c r="BA230" s="2">
        <v>99.7</v>
      </c>
      <c r="BB230" s="2">
        <v>99.7</v>
      </c>
      <c r="BC230" s="2">
        <v>100.0</v>
      </c>
      <c r="BD230" s="2">
        <v>100.0</v>
      </c>
      <c r="BE230" s="2">
        <v>100.0</v>
      </c>
      <c r="BF230" s="2">
        <v>100.0</v>
      </c>
      <c r="BG230" s="2">
        <v>100.0</v>
      </c>
      <c r="BH230" s="2">
        <v>100.0</v>
      </c>
      <c r="BI230" s="2">
        <v>100.0</v>
      </c>
      <c r="BJ230" s="2">
        <v>100.0</v>
      </c>
      <c r="BK230" s="2">
        <v>100.0</v>
      </c>
      <c r="BL230" s="2">
        <v>100.0</v>
      </c>
      <c r="BM230" s="2">
        <v>100.0</v>
      </c>
      <c r="BN230" s="2">
        <v>100.0</v>
      </c>
      <c r="BO230" s="2">
        <v>100.0</v>
      </c>
      <c r="BP230" s="2">
        <v>100.0</v>
      </c>
      <c r="BQ230" s="2">
        <v>100.0</v>
      </c>
      <c r="BS230" s="3" t="str">
        <f>VLOOKUP(B230, Metadata!A:B, 2, FALSE)</f>
        <v>Latin America &amp; Caribbean</v>
      </c>
    </row>
    <row r="231">
      <c r="A231" s="2" t="s">
        <v>120</v>
      </c>
      <c r="B231" s="2" t="s">
        <v>121</v>
      </c>
      <c r="C231" s="2" t="s">
        <v>4</v>
      </c>
      <c r="D231" s="2" t="s">
        <v>5</v>
      </c>
      <c r="AM231" s="2">
        <v>90.0</v>
      </c>
      <c r="AN231" s="2">
        <v>92.1736526489258</v>
      </c>
      <c r="AO231" s="2">
        <v>92.552490234375</v>
      </c>
      <c r="AP231" s="2">
        <v>92.0</v>
      </c>
      <c r="AQ231" s="2">
        <v>93.2992935180664</v>
      </c>
      <c r="AR231" s="2">
        <v>93.6658096313477</v>
      </c>
      <c r="AS231" s="2">
        <v>94.1</v>
      </c>
      <c r="AT231" s="2">
        <v>94.4</v>
      </c>
      <c r="AU231" s="2">
        <v>96.1</v>
      </c>
      <c r="AV231" s="2">
        <v>94.9</v>
      </c>
      <c r="AW231" s="2">
        <v>95.2</v>
      </c>
      <c r="AX231" s="2">
        <v>95.5</v>
      </c>
      <c r="AY231" s="2">
        <v>99.0</v>
      </c>
      <c r="AZ231" s="2">
        <v>96.1</v>
      </c>
      <c r="BA231" s="2">
        <v>96.5</v>
      </c>
      <c r="BB231" s="2">
        <v>96.8</v>
      </c>
      <c r="BC231" s="2">
        <v>97.0</v>
      </c>
      <c r="BD231" s="2">
        <v>98.1</v>
      </c>
      <c r="BE231" s="2">
        <v>98.3</v>
      </c>
      <c r="BF231" s="2">
        <v>98.0</v>
      </c>
      <c r="BG231" s="2">
        <v>100.0</v>
      </c>
      <c r="BH231" s="2">
        <v>100.0</v>
      </c>
      <c r="BI231" s="2">
        <v>100.0</v>
      </c>
      <c r="BJ231" s="2">
        <v>100.0</v>
      </c>
      <c r="BK231" s="2">
        <v>100.0</v>
      </c>
      <c r="BL231" s="2">
        <v>100.0</v>
      </c>
      <c r="BM231" s="2">
        <v>100.0</v>
      </c>
      <c r="BN231" s="2">
        <v>100.0</v>
      </c>
      <c r="BO231" s="2">
        <v>100.0</v>
      </c>
      <c r="BP231" s="2">
        <v>100.0</v>
      </c>
      <c r="BQ231" s="2">
        <v>100.0</v>
      </c>
      <c r="BS231" s="3" t="str">
        <f>VLOOKUP(B231, Metadata!A:B, 2, FALSE)</f>
        <v>Sub-Saharan Africa</v>
      </c>
      <c r="BT231" s="3">
        <f>VLOOKUP(B227,Population!A:B,2,FALSE)*(1-BP227/100)</f>
        <v>0</v>
      </c>
    </row>
    <row r="232" hidden="1">
      <c r="A232" s="2" t="s">
        <v>509</v>
      </c>
      <c r="B232" s="2" t="s">
        <v>354</v>
      </c>
      <c r="C232" s="2" t="s">
        <v>4</v>
      </c>
      <c r="D232" s="2" t="s">
        <v>5</v>
      </c>
      <c r="AS232" s="2">
        <v>93.4</v>
      </c>
      <c r="AT232" s="2">
        <v>93.1</v>
      </c>
      <c r="AU232" s="2">
        <v>86.6</v>
      </c>
      <c r="AV232" s="2">
        <v>92.6</v>
      </c>
      <c r="AW232" s="2">
        <v>92.3</v>
      </c>
      <c r="AX232" s="2">
        <v>92.0</v>
      </c>
      <c r="AY232" s="2">
        <v>99.5</v>
      </c>
      <c r="AZ232" s="2">
        <v>91.5</v>
      </c>
      <c r="BA232" s="2">
        <v>91.3</v>
      </c>
      <c r="BB232" s="2">
        <v>91.1</v>
      </c>
      <c r="BC232" s="2">
        <v>92.7</v>
      </c>
      <c r="BD232" s="2">
        <v>91.5</v>
      </c>
      <c r="BE232" s="2">
        <v>90.7</v>
      </c>
      <c r="BF232" s="2">
        <v>90.4</v>
      </c>
      <c r="BG232" s="2">
        <v>90.2</v>
      </c>
      <c r="BH232" s="2">
        <v>90.0</v>
      </c>
      <c r="BI232" s="2">
        <v>89.8</v>
      </c>
      <c r="BJ232" s="2">
        <v>89.6</v>
      </c>
      <c r="BK232" s="2">
        <v>86.0</v>
      </c>
      <c r="BL232" s="2">
        <v>89.2</v>
      </c>
      <c r="BM232" s="2">
        <v>89.0</v>
      </c>
      <c r="BN232" s="2">
        <v>88.8</v>
      </c>
      <c r="BO232" s="2">
        <v>89.0</v>
      </c>
      <c r="BP232" s="2">
        <v>88.4</v>
      </c>
      <c r="BQ232" s="2">
        <v>89.3</v>
      </c>
      <c r="BS232" s="3" t="str">
        <f>VLOOKUP(B232, Metadata!A:B, 2, FALSE)</f>
        <v>Middle East &amp; North Africa</v>
      </c>
    </row>
    <row r="233" hidden="1">
      <c r="A233" s="2" t="s">
        <v>510</v>
      </c>
      <c r="B233" s="2" t="s">
        <v>355</v>
      </c>
      <c r="C233" s="2" t="s">
        <v>4</v>
      </c>
      <c r="D233" s="2" t="s">
        <v>5</v>
      </c>
      <c r="AI233" s="2">
        <v>88.7</v>
      </c>
      <c r="AJ233" s="2">
        <v>91.0539093017578</v>
      </c>
      <c r="AK233" s="2">
        <v>91.4391174316406</v>
      </c>
      <c r="AL233" s="2">
        <v>91.8236465454102</v>
      </c>
      <c r="AM233" s="2">
        <v>92.2068176269531</v>
      </c>
      <c r="AN233" s="2">
        <v>92.5879440307617</v>
      </c>
      <c r="AO233" s="2">
        <v>92.9663467407227</v>
      </c>
      <c r="AP233" s="2">
        <v>93.3413619995117</v>
      </c>
      <c r="AQ233" s="2">
        <v>93.712287902832</v>
      </c>
      <c r="AR233" s="2">
        <v>94.0783767700195</v>
      </c>
      <c r="AS233" s="2">
        <v>95.6</v>
      </c>
      <c r="AT233" s="2">
        <v>94.9</v>
      </c>
      <c r="AU233" s="2">
        <v>95.2</v>
      </c>
      <c r="AV233" s="2">
        <v>95.4</v>
      </c>
      <c r="AW233" s="2">
        <v>95.7</v>
      </c>
      <c r="AX233" s="2">
        <v>96.0</v>
      </c>
      <c r="AY233" s="2">
        <v>96.2</v>
      </c>
      <c r="AZ233" s="2">
        <v>96.6</v>
      </c>
      <c r="BA233" s="2">
        <v>96.9</v>
      </c>
      <c r="BB233" s="2">
        <v>100.0</v>
      </c>
      <c r="BC233" s="2">
        <v>100.0</v>
      </c>
      <c r="BD233" s="2">
        <v>100.0</v>
      </c>
      <c r="BE233" s="2">
        <v>93.1</v>
      </c>
      <c r="BF233" s="2">
        <v>100.0</v>
      </c>
      <c r="BG233" s="2">
        <v>100.0</v>
      </c>
      <c r="BH233" s="2">
        <v>100.0</v>
      </c>
      <c r="BI233" s="2">
        <v>100.0</v>
      </c>
      <c r="BJ233" s="2">
        <v>100.0</v>
      </c>
      <c r="BK233" s="2">
        <v>100.0</v>
      </c>
      <c r="BL233" s="2">
        <v>100.0</v>
      </c>
      <c r="BM233" s="2">
        <v>99.4</v>
      </c>
      <c r="BN233" s="2">
        <v>100.0</v>
      </c>
      <c r="BO233" s="2">
        <v>99.9</v>
      </c>
      <c r="BP233" s="2">
        <v>100.0</v>
      </c>
      <c r="BQ233" s="2">
        <v>100.0</v>
      </c>
      <c r="BS233" s="3" t="str">
        <f>VLOOKUP(B233, Metadata!A:B, 2, FALSE)</f>
        <v>Latin America &amp; Caribbean</v>
      </c>
    </row>
    <row r="234">
      <c r="A234" s="2" t="s">
        <v>16</v>
      </c>
      <c r="B234" s="2" t="s">
        <v>17</v>
      </c>
      <c r="C234" s="2" t="s">
        <v>4</v>
      </c>
      <c r="D234" s="2" t="s">
        <v>5</v>
      </c>
      <c r="AP234" s="2">
        <v>2.3</v>
      </c>
      <c r="AQ234" s="2">
        <v>2.42038726806641</v>
      </c>
      <c r="AR234" s="2">
        <v>2.80621337890625</v>
      </c>
      <c r="AS234" s="2">
        <v>3.1</v>
      </c>
      <c r="AT234" s="2">
        <v>3.4</v>
      </c>
      <c r="AU234" s="2">
        <v>3.8</v>
      </c>
      <c r="AV234" s="2">
        <v>4.1</v>
      </c>
      <c r="AW234" s="2">
        <v>3.5</v>
      </c>
      <c r="AX234" s="2">
        <v>4.8</v>
      </c>
      <c r="AY234" s="2">
        <v>5.1</v>
      </c>
      <c r="AZ234" s="2">
        <v>5.5</v>
      </c>
      <c r="BA234" s="2">
        <v>5.9</v>
      </c>
      <c r="BB234" s="2">
        <v>6.3</v>
      </c>
      <c r="BC234" s="2">
        <v>6.4</v>
      </c>
      <c r="BD234" s="2">
        <v>9.0</v>
      </c>
      <c r="BE234" s="2">
        <v>7.8</v>
      </c>
      <c r="BF234" s="2">
        <v>8.1</v>
      </c>
      <c r="BG234" s="2">
        <v>8.4</v>
      </c>
      <c r="BH234" s="2">
        <v>7.7</v>
      </c>
      <c r="BI234" s="2">
        <v>9.2</v>
      </c>
      <c r="BJ234" s="2">
        <v>10.9</v>
      </c>
      <c r="BK234" s="2">
        <v>10.1</v>
      </c>
      <c r="BL234" s="2">
        <v>8.4</v>
      </c>
      <c r="BM234" s="2">
        <v>10.9</v>
      </c>
      <c r="BN234" s="2">
        <v>11.3</v>
      </c>
      <c r="BO234" s="2">
        <v>11.7</v>
      </c>
      <c r="BP234" s="2">
        <v>12.0</v>
      </c>
      <c r="BQ234" s="2">
        <v>13.4</v>
      </c>
      <c r="BS234" s="3" t="str">
        <f>VLOOKUP(B234, Metadata!A:B, 2, FALSE)</f>
        <v>Sub-Saharan Africa</v>
      </c>
      <c r="BT234" s="3">
        <f>VLOOKUP(B230,Population!A:B,2,FALSE)*(1-BP230/100)</f>
        <v>0</v>
      </c>
    </row>
    <row r="235" hidden="1">
      <c r="A235" s="2" t="s">
        <v>511</v>
      </c>
      <c r="B235" s="2" t="s">
        <v>356</v>
      </c>
      <c r="C235" s="2" t="s">
        <v>4</v>
      </c>
      <c r="D235" s="2" t="s">
        <v>5</v>
      </c>
      <c r="AS235" s="2">
        <v>91.1382617877496</v>
      </c>
      <c r="AT235" s="2">
        <v>91.6799157877188</v>
      </c>
      <c r="AU235" s="2">
        <v>92.1533732164058</v>
      </c>
      <c r="AV235" s="2">
        <v>92.3781448783281</v>
      </c>
      <c r="AW235" s="2">
        <v>93.2661505857218</v>
      </c>
      <c r="AX235" s="2">
        <v>92.8453973742828</v>
      </c>
      <c r="AY235" s="2">
        <v>94.0415260035912</v>
      </c>
      <c r="AZ235" s="2">
        <v>94.0514635510722</v>
      </c>
      <c r="BA235" s="2">
        <v>94.6719920462074</v>
      </c>
      <c r="BB235" s="2">
        <v>95.3078523738531</v>
      </c>
      <c r="BC235" s="2">
        <v>95.898601883303</v>
      </c>
      <c r="BD235" s="2">
        <v>96.4018892391827</v>
      </c>
      <c r="BE235" s="2">
        <v>96.5865908716016</v>
      </c>
      <c r="BF235" s="2">
        <v>96.8583126264425</v>
      </c>
      <c r="BG235" s="2">
        <v>97.0127423122849</v>
      </c>
      <c r="BH235" s="2">
        <v>97.3350470103173</v>
      </c>
      <c r="BI235" s="2">
        <v>97.4026392373466</v>
      </c>
      <c r="BJ235" s="2">
        <v>98.1121893727336</v>
      </c>
      <c r="BK235" s="2">
        <v>98.051229750632</v>
      </c>
      <c r="BL235" s="2">
        <v>98.2517291129462</v>
      </c>
      <c r="BM235" s="2">
        <v>98.1521712499121</v>
      </c>
      <c r="BN235" s="2">
        <v>98.5259377999818</v>
      </c>
      <c r="BO235" s="2">
        <v>98.5710601814202</v>
      </c>
      <c r="BP235" s="2">
        <v>98.7474424069608</v>
      </c>
      <c r="BQ235" s="2">
        <v>98.8730876053292</v>
      </c>
      <c r="BS235" s="3" t="str">
        <f>VLOOKUP(B235, Metadata!A:B, 2, FALSE)</f>
        <v/>
      </c>
    </row>
    <row r="236" hidden="1">
      <c r="A236" s="2" t="s">
        <v>512</v>
      </c>
      <c r="B236" s="2" t="s">
        <v>357</v>
      </c>
      <c r="C236" s="2" t="s">
        <v>4</v>
      </c>
      <c r="D236" s="2" t="s">
        <v>5</v>
      </c>
      <c r="AI236" s="2">
        <v>100.0</v>
      </c>
      <c r="AJ236" s="2">
        <v>100.0</v>
      </c>
      <c r="AK236" s="2">
        <v>100.0</v>
      </c>
      <c r="AL236" s="2">
        <v>100.0</v>
      </c>
      <c r="AM236" s="2">
        <v>100.0</v>
      </c>
      <c r="AN236" s="2">
        <v>99.9948283312926</v>
      </c>
      <c r="AO236" s="2">
        <v>99.9346510374183</v>
      </c>
      <c r="AP236" s="2">
        <v>99.9216976575764</v>
      </c>
      <c r="AQ236" s="2">
        <v>99.9263649213318</v>
      </c>
      <c r="AR236" s="2">
        <v>99.7158353371181</v>
      </c>
      <c r="AS236" s="2">
        <v>98.2547275902283</v>
      </c>
      <c r="AT236" s="2">
        <v>98.35052088994</v>
      </c>
      <c r="AU236" s="2">
        <v>98.4238273852713</v>
      </c>
      <c r="AV236" s="2">
        <v>98.438063287488</v>
      </c>
      <c r="AW236" s="2">
        <v>98.486641163599</v>
      </c>
      <c r="AX236" s="2">
        <v>98.5682871495581</v>
      </c>
      <c r="AY236" s="2">
        <v>98.6087161248617</v>
      </c>
      <c r="AZ236" s="2">
        <v>98.7246906181739</v>
      </c>
      <c r="BA236" s="2">
        <v>98.8132200078566</v>
      </c>
      <c r="BB236" s="2">
        <v>98.9275231925627</v>
      </c>
      <c r="BC236" s="2">
        <v>99.3287049619028</v>
      </c>
      <c r="BD236" s="2">
        <v>99.3269244879236</v>
      </c>
      <c r="BE236" s="2">
        <v>99.6546769524838</v>
      </c>
      <c r="BF236" s="2">
        <v>99.6978833009023</v>
      </c>
      <c r="BG236" s="2">
        <v>99.7515903233231</v>
      </c>
      <c r="BH236" s="2">
        <v>98.3318925466179</v>
      </c>
      <c r="BI236" s="2">
        <v>99.6574040765117</v>
      </c>
      <c r="BJ236" s="2">
        <v>99.9282316965341</v>
      </c>
      <c r="BK236" s="2">
        <v>99.941528994937</v>
      </c>
      <c r="BL236" s="2">
        <v>99.9069194604741</v>
      </c>
      <c r="BM236" s="2">
        <v>99.9520668153849</v>
      </c>
      <c r="BN236" s="2">
        <v>99.9763873001269</v>
      </c>
      <c r="BO236" s="2">
        <v>99.9954427619778</v>
      </c>
      <c r="BP236" s="2">
        <v>100.0</v>
      </c>
      <c r="BQ236" s="2">
        <v>99.9976895300598</v>
      </c>
      <c r="BS236" s="3" t="str">
        <f>VLOOKUP(B236, Metadata!A:B, 2, FALSE)</f>
        <v/>
      </c>
    </row>
    <row r="237">
      <c r="A237" s="2" t="s">
        <v>170</v>
      </c>
      <c r="B237" s="2" t="s">
        <v>171</v>
      </c>
      <c r="C237" s="2" t="s">
        <v>4</v>
      </c>
      <c r="D237" s="2" t="s">
        <v>5</v>
      </c>
      <c r="AQ237" s="2">
        <v>15.3</v>
      </c>
      <c r="AR237" s="2">
        <v>16.0729999542236</v>
      </c>
      <c r="AS237" s="2">
        <v>17.0</v>
      </c>
      <c r="AT237" s="2">
        <v>19.6</v>
      </c>
      <c r="AU237" s="2">
        <v>21.3</v>
      </c>
      <c r="AV237" s="2">
        <v>23.0</v>
      </c>
      <c r="AW237" s="2">
        <v>24.8</v>
      </c>
      <c r="AX237" s="2">
        <v>26.5</v>
      </c>
      <c r="AY237" s="2">
        <v>27.9</v>
      </c>
      <c r="AZ237" s="2">
        <v>30.0</v>
      </c>
      <c r="BA237" s="2">
        <v>31.8</v>
      </c>
      <c r="BB237" s="2">
        <v>33.7</v>
      </c>
      <c r="BC237" s="2">
        <v>30.8</v>
      </c>
      <c r="BD237" s="2">
        <v>39.7</v>
      </c>
      <c r="BE237" s="2">
        <v>39.1</v>
      </c>
      <c r="BF237" s="2">
        <v>41.0</v>
      </c>
      <c r="BG237" s="2">
        <v>45.7</v>
      </c>
      <c r="BH237" s="2">
        <v>44.7</v>
      </c>
      <c r="BI237" s="2">
        <v>46.8</v>
      </c>
      <c r="BJ237" s="2">
        <v>48.0</v>
      </c>
      <c r="BK237" s="2">
        <v>50.0</v>
      </c>
      <c r="BL237" s="2">
        <v>52.5</v>
      </c>
      <c r="BM237" s="2">
        <v>54.1</v>
      </c>
      <c r="BN237" s="2">
        <v>55.7</v>
      </c>
      <c r="BO237" s="2">
        <v>57.2</v>
      </c>
      <c r="BP237" s="2">
        <v>59.2</v>
      </c>
      <c r="BQ237" s="2">
        <v>61.1</v>
      </c>
      <c r="BS237" s="3" t="str">
        <f>VLOOKUP(B237, Metadata!A:B, 2, FALSE)</f>
        <v>Sub-Saharan Africa</v>
      </c>
      <c r="BT237" s="3">
        <f>VLOOKUP(B233,Population!A:B,2,FALSE)*(1-BP233/100)</f>
        <v>0</v>
      </c>
    </row>
    <row r="238" hidden="1">
      <c r="A238" s="2" t="s">
        <v>513</v>
      </c>
      <c r="B238" s="2" t="s">
        <v>358</v>
      </c>
      <c r="C238" s="2" t="s">
        <v>4</v>
      </c>
      <c r="D238" s="2" t="s">
        <v>5</v>
      </c>
      <c r="AS238" s="2">
        <v>82.1</v>
      </c>
      <c r="AT238" s="2">
        <v>90.4</v>
      </c>
      <c r="AU238" s="2">
        <v>91.0</v>
      </c>
      <c r="AV238" s="2">
        <v>91.6</v>
      </c>
      <c r="AW238" s="2">
        <v>92.2</v>
      </c>
      <c r="AX238" s="2">
        <v>92.8</v>
      </c>
      <c r="AY238" s="2">
        <v>99.1</v>
      </c>
      <c r="AZ238" s="2">
        <v>94.1</v>
      </c>
      <c r="BA238" s="2">
        <v>94.8</v>
      </c>
      <c r="BB238" s="2">
        <v>99.0</v>
      </c>
      <c r="BC238" s="2">
        <v>99.7</v>
      </c>
      <c r="BD238" s="2">
        <v>99.3</v>
      </c>
      <c r="BE238" s="2">
        <v>99.1</v>
      </c>
      <c r="BF238" s="2">
        <v>99.4</v>
      </c>
      <c r="BG238" s="2">
        <v>99.5</v>
      </c>
      <c r="BH238" s="2">
        <v>99.6</v>
      </c>
      <c r="BI238" s="2">
        <v>99.9</v>
      </c>
      <c r="BJ238" s="2">
        <v>99.9</v>
      </c>
      <c r="BK238" s="2">
        <v>99.8</v>
      </c>
      <c r="BL238" s="2">
        <v>99.9</v>
      </c>
      <c r="BM238" s="2">
        <v>100.0</v>
      </c>
      <c r="BN238" s="2">
        <v>100.0</v>
      </c>
      <c r="BO238" s="2">
        <v>99.9</v>
      </c>
      <c r="BP238" s="2">
        <v>100.0</v>
      </c>
      <c r="BQ238" s="2">
        <v>100.0</v>
      </c>
      <c r="BS238" s="3" t="str">
        <f>VLOOKUP(B238, Metadata!A:B, 2, FALSE)</f>
        <v>East Asia &amp; Pacific</v>
      </c>
    </row>
    <row r="239" hidden="1">
      <c r="A239" s="2" t="s">
        <v>514</v>
      </c>
      <c r="B239" s="2" t="s">
        <v>359</v>
      </c>
      <c r="C239" s="2" t="s">
        <v>4</v>
      </c>
      <c r="D239" s="2" t="s">
        <v>5</v>
      </c>
      <c r="AR239" s="2">
        <v>97.0</v>
      </c>
      <c r="AS239" s="2">
        <v>98.5</v>
      </c>
      <c r="AT239" s="2">
        <v>98.6</v>
      </c>
      <c r="AU239" s="2">
        <v>99.0</v>
      </c>
      <c r="AV239" s="2">
        <v>100.0</v>
      </c>
      <c r="AW239" s="2">
        <v>98.5</v>
      </c>
      <c r="AX239" s="2">
        <v>99.3</v>
      </c>
      <c r="AY239" s="2">
        <v>98.6</v>
      </c>
      <c r="AZ239" s="2">
        <v>98.6</v>
      </c>
      <c r="BA239" s="2">
        <v>98.6</v>
      </c>
      <c r="BB239" s="2">
        <v>99.0</v>
      </c>
      <c r="BC239" s="2">
        <v>98.8</v>
      </c>
      <c r="BD239" s="2">
        <v>98.9</v>
      </c>
      <c r="BE239" s="2">
        <v>99.1</v>
      </c>
      <c r="BF239" s="2">
        <v>99.0</v>
      </c>
      <c r="BG239" s="2">
        <v>99.1</v>
      </c>
      <c r="BH239" s="2">
        <v>98.0</v>
      </c>
      <c r="BI239" s="2">
        <v>99.3</v>
      </c>
      <c r="BJ239" s="2">
        <v>99.3</v>
      </c>
      <c r="BK239" s="2">
        <v>99.3</v>
      </c>
      <c r="BL239" s="2">
        <v>99.4</v>
      </c>
      <c r="BM239" s="2">
        <v>99.5</v>
      </c>
      <c r="BN239" s="2">
        <v>99.6</v>
      </c>
      <c r="BO239" s="2">
        <v>100.0</v>
      </c>
      <c r="BP239" s="2">
        <v>100.0</v>
      </c>
      <c r="BQ239" s="2">
        <v>99.9</v>
      </c>
      <c r="BS239" s="3" t="str">
        <f>VLOOKUP(B239, Metadata!A:B, 2, FALSE)</f>
        <v>Europe &amp; Central Asia</v>
      </c>
    </row>
    <row r="240" hidden="1">
      <c r="A240" s="2" t="s">
        <v>515</v>
      </c>
      <c r="B240" s="2" t="s">
        <v>360</v>
      </c>
      <c r="C240" s="2" t="s">
        <v>4</v>
      </c>
      <c r="D240" s="2" t="s">
        <v>5</v>
      </c>
      <c r="AS240" s="2">
        <v>99.6</v>
      </c>
      <c r="AT240" s="2">
        <v>99.6</v>
      </c>
      <c r="AU240" s="2">
        <v>99.6</v>
      </c>
      <c r="AV240" s="2">
        <v>99.6</v>
      </c>
      <c r="AW240" s="2">
        <v>99.5</v>
      </c>
      <c r="AX240" s="2">
        <v>99.5</v>
      </c>
      <c r="AY240" s="2">
        <v>99.8</v>
      </c>
      <c r="AZ240" s="2">
        <v>99.6</v>
      </c>
      <c r="BA240" s="2">
        <v>99.6</v>
      </c>
      <c r="BB240" s="2">
        <v>99.7</v>
      </c>
      <c r="BC240" s="2">
        <v>100.0</v>
      </c>
      <c r="BD240" s="2">
        <v>99.8</v>
      </c>
      <c r="BE240" s="2">
        <v>99.9</v>
      </c>
      <c r="BF240" s="2">
        <v>99.9</v>
      </c>
      <c r="BG240" s="2">
        <v>100.0</v>
      </c>
      <c r="BH240" s="2">
        <v>100.0</v>
      </c>
      <c r="BI240" s="2">
        <v>100.0</v>
      </c>
      <c r="BJ240" s="2">
        <v>100.0</v>
      </c>
      <c r="BK240" s="2">
        <v>100.0</v>
      </c>
      <c r="BL240" s="2">
        <v>99.9</v>
      </c>
      <c r="BM240" s="2">
        <v>100.0</v>
      </c>
      <c r="BN240" s="2">
        <v>100.0</v>
      </c>
      <c r="BO240" s="2">
        <v>100.0</v>
      </c>
      <c r="BP240" s="2">
        <v>100.0</v>
      </c>
      <c r="BQ240" s="2">
        <v>100.0</v>
      </c>
      <c r="BS240" s="3" t="str">
        <f>VLOOKUP(B240, Metadata!A:B, 2, FALSE)</f>
        <v>Europe &amp; Central Asia</v>
      </c>
    </row>
    <row r="241" hidden="1">
      <c r="A241" s="2" t="s">
        <v>516</v>
      </c>
      <c r="B241" s="2" t="s">
        <v>361</v>
      </c>
      <c r="C241" s="2" t="s">
        <v>4</v>
      </c>
      <c r="D241" s="2" t="s">
        <v>5</v>
      </c>
      <c r="AK241" s="2">
        <v>88.6137508115355</v>
      </c>
      <c r="AL241" s="2">
        <v>89.2315013990268</v>
      </c>
      <c r="AM241" s="2">
        <v>90.139056071381</v>
      </c>
      <c r="AN241" s="2">
        <v>88.5118249313624</v>
      </c>
      <c r="AO241" s="2">
        <v>89.4765112929002</v>
      </c>
      <c r="AP241" s="2">
        <v>89.9360836894642</v>
      </c>
      <c r="AQ241" s="2">
        <v>90.5602252538658</v>
      </c>
      <c r="AR241" s="2">
        <v>91.1763258910293</v>
      </c>
      <c r="AS241" s="2">
        <v>91.5465023715452</v>
      </c>
      <c r="AT241" s="2">
        <v>92.1794951117155</v>
      </c>
      <c r="AU241" s="2">
        <v>92.5289426557734</v>
      </c>
      <c r="AV241" s="2">
        <v>92.5944126162123</v>
      </c>
      <c r="AW241" s="2">
        <v>93.0888207078371</v>
      </c>
      <c r="AX241" s="2">
        <v>93.3985919750135</v>
      </c>
      <c r="AY241" s="2">
        <v>94.1560638664242</v>
      </c>
      <c r="AZ241" s="2">
        <v>94.3767313243229</v>
      </c>
      <c r="BA241" s="2">
        <v>95.1417588634308</v>
      </c>
      <c r="BB241" s="2">
        <v>95.3459322821858</v>
      </c>
      <c r="BC241" s="2">
        <v>95.8082861861517</v>
      </c>
      <c r="BD241" s="2">
        <v>96.1182240318495</v>
      </c>
      <c r="BE241" s="2">
        <v>96.5092457202988</v>
      </c>
      <c r="BF241" s="2">
        <v>96.8091782999087</v>
      </c>
      <c r="BG241" s="2">
        <v>97.0005516962811</v>
      </c>
      <c r="BH241" s="2">
        <v>97.2323920529293</v>
      </c>
      <c r="BI241" s="2">
        <v>97.4280893456675</v>
      </c>
      <c r="BJ241" s="2">
        <v>97.6633402843346</v>
      </c>
      <c r="BK241" s="2">
        <v>97.7078847938323</v>
      </c>
      <c r="BL241" s="2">
        <v>97.9522021469941</v>
      </c>
      <c r="BM241" s="2">
        <v>98.1036683889447</v>
      </c>
      <c r="BN241" s="2">
        <v>98.2338083621938</v>
      </c>
      <c r="BO241" s="2">
        <v>98.5448799242171</v>
      </c>
      <c r="BP241" s="2">
        <v>98.3852491204833</v>
      </c>
      <c r="BQ241" s="2">
        <v>98.0000586906957</v>
      </c>
      <c r="BS241" s="3" t="str">
        <f>VLOOKUP(B241, Metadata!A:B, 2, FALSE)</f>
        <v/>
      </c>
    </row>
    <row r="242" hidden="1">
      <c r="A242" s="2" t="s">
        <v>517</v>
      </c>
      <c r="B242" s="2" t="s">
        <v>362</v>
      </c>
      <c r="C242" s="2" t="s">
        <v>4</v>
      </c>
      <c r="D242" s="2" t="s">
        <v>5</v>
      </c>
      <c r="AS242" s="2">
        <v>17.8</v>
      </c>
      <c r="AT242" s="2">
        <v>25.6</v>
      </c>
      <c r="AU242" s="2">
        <v>24.1</v>
      </c>
      <c r="AV242" s="2">
        <v>27.7</v>
      </c>
      <c r="AW242" s="2">
        <v>30.4</v>
      </c>
      <c r="AX242" s="2">
        <v>33.5</v>
      </c>
      <c r="AY242" s="2">
        <v>36.7</v>
      </c>
      <c r="AZ242" s="2">
        <v>36.6</v>
      </c>
      <c r="BA242" s="2">
        <v>43.1</v>
      </c>
      <c r="BB242" s="2">
        <v>46.3</v>
      </c>
      <c r="BC242" s="2">
        <v>38.0</v>
      </c>
      <c r="BD242" s="2">
        <v>52.7</v>
      </c>
      <c r="BE242" s="2">
        <v>56.0</v>
      </c>
      <c r="BF242" s="2">
        <v>59.2</v>
      </c>
      <c r="BG242" s="2">
        <v>62.4</v>
      </c>
      <c r="BH242" s="2">
        <v>67.3</v>
      </c>
      <c r="BI242" s="2">
        <v>76.5</v>
      </c>
      <c r="BJ242" s="2">
        <v>79.5</v>
      </c>
      <c r="BK242" s="2">
        <v>85.2</v>
      </c>
      <c r="BL242" s="2">
        <v>90.6</v>
      </c>
      <c r="BM242" s="2">
        <v>96.0</v>
      </c>
      <c r="BN242" s="2">
        <v>100.0</v>
      </c>
      <c r="BO242" s="2">
        <v>99.7</v>
      </c>
      <c r="BP242" s="2">
        <v>100.0</v>
      </c>
      <c r="BQ242" s="2">
        <v>94.3</v>
      </c>
      <c r="BS242" s="3" t="str">
        <f>VLOOKUP(B242, Metadata!A:B, 2, FALSE)</f>
        <v>East Asia &amp; Pacific</v>
      </c>
    </row>
    <row r="243" hidden="1">
      <c r="A243" s="2" t="s">
        <v>518</v>
      </c>
      <c r="B243" s="2" t="s">
        <v>363</v>
      </c>
      <c r="C243" s="2" t="s">
        <v>4</v>
      </c>
      <c r="D243" s="2" t="s">
        <v>5</v>
      </c>
      <c r="AS243" s="2">
        <v>81.2536678712174</v>
      </c>
      <c r="AT243" s="2">
        <v>81.995810773732</v>
      </c>
      <c r="AU243" s="2">
        <v>82.3266033779687</v>
      </c>
      <c r="AV243" s="2">
        <v>83.3598460483781</v>
      </c>
      <c r="AW243" s="2">
        <v>83.7666973214964</v>
      </c>
      <c r="AX243" s="2">
        <v>84.8054610893122</v>
      </c>
      <c r="AY243" s="2">
        <v>86.6225518861902</v>
      </c>
      <c r="AZ243" s="2">
        <v>86.0502685841007</v>
      </c>
      <c r="BA243" s="2">
        <v>87.0398617493712</v>
      </c>
      <c r="BB243" s="2">
        <v>87.72245737765</v>
      </c>
      <c r="BC243" s="2">
        <v>89.718636418982</v>
      </c>
      <c r="BD243" s="2">
        <v>89.9389892888994</v>
      </c>
      <c r="BE243" s="2">
        <v>91.0963754860192</v>
      </c>
      <c r="BF243" s="2">
        <v>92.4917628816356</v>
      </c>
      <c r="BG243" s="2">
        <v>93.4524577644192</v>
      </c>
      <c r="BH243" s="2">
        <v>92.7799106414588</v>
      </c>
      <c r="BI243" s="2">
        <v>94.6688585064836</v>
      </c>
      <c r="BJ243" s="2">
        <v>95.593813647771</v>
      </c>
      <c r="BK243" s="2">
        <v>94.4715748209862</v>
      </c>
      <c r="BL243" s="2">
        <v>95.6135456463624</v>
      </c>
      <c r="BM243" s="2">
        <v>95.8888561743117</v>
      </c>
      <c r="BN243" s="2">
        <v>96.0681260042218</v>
      </c>
      <c r="BO243" s="2">
        <v>95.4516981935493</v>
      </c>
      <c r="BP243" s="2">
        <v>96.0574946837091</v>
      </c>
      <c r="BQ243" s="2">
        <v>96.4373354708585</v>
      </c>
      <c r="BS243" s="3" t="str">
        <f>VLOOKUP(B243, Metadata!A:B, 2, FALSE)</f>
        <v/>
      </c>
    </row>
    <row r="244" hidden="1">
      <c r="A244" s="2" t="s">
        <v>519</v>
      </c>
      <c r="B244" s="2" t="s">
        <v>364</v>
      </c>
      <c r="C244" s="2" t="s">
        <v>4</v>
      </c>
      <c r="D244" s="2" t="s">
        <v>5</v>
      </c>
      <c r="AM244" s="2">
        <v>80.0</v>
      </c>
      <c r="AN244" s="2">
        <v>81.7884750366211</v>
      </c>
      <c r="AO244" s="2">
        <v>82.5543670654297</v>
      </c>
      <c r="AP244" s="2">
        <v>83.3168563842773</v>
      </c>
      <c r="AQ244" s="2">
        <v>84.0752716064453</v>
      </c>
      <c r="AR244" s="2">
        <v>84.8288421630859</v>
      </c>
      <c r="AS244" s="2">
        <v>85.6</v>
      </c>
      <c r="AT244" s="2">
        <v>86.3</v>
      </c>
      <c r="AU244" s="2">
        <v>87.0</v>
      </c>
      <c r="AV244" s="2">
        <v>87.6</v>
      </c>
      <c r="AW244" s="2">
        <v>88.3</v>
      </c>
      <c r="AX244" s="2">
        <v>89.0</v>
      </c>
      <c r="AY244" s="2">
        <v>92.3</v>
      </c>
      <c r="AZ244" s="2">
        <v>90.5</v>
      </c>
      <c r="BA244" s="2">
        <v>91.2</v>
      </c>
      <c r="BB244" s="2">
        <v>92.0</v>
      </c>
      <c r="BC244" s="2">
        <v>92.8</v>
      </c>
      <c r="BD244" s="2">
        <v>92.2</v>
      </c>
      <c r="BE244" s="2">
        <v>92.8</v>
      </c>
      <c r="BF244" s="2">
        <v>95.1</v>
      </c>
      <c r="BG244" s="2">
        <v>95.9</v>
      </c>
      <c r="BH244" s="2">
        <v>100.0</v>
      </c>
      <c r="BI244" s="2">
        <v>97.0</v>
      </c>
      <c r="BJ244" s="2">
        <v>98.2</v>
      </c>
      <c r="BK244" s="2">
        <v>99.0</v>
      </c>
      <c r="BL244" s="2">
        <v>98.4</v>
      </c>
      <c r="BM244" s="2">
        <v>99.9</v>
      </c>
      <c r="BN244" s="2">
        <v>100.0</v>
      </c>
      <c r="BO244" s="2">
        <v>100.0</v>
      </c>
      <c r="BP244" s="2">
        <v>100.0</v>
      </c>
      <c r="BQ244" s="2">
        <v>100.0</v>
      </c>
      <c r="BS244" s="3" t="str">
        <f>VLOOKUP(B244, Metadata!A:B, 2, FALSE)</f>
        <v>East Asia &amp; Pacific</v>
      </c>
    </row>
    <row r="245" hidden="1">
      <c r="A245" s="2" t="s">
        <v>520</v>
      </c>
      <c r="B245" s="2" t="s">
        <v>365</v>
      </c>
      <c r="C245" s="2" t="s">
        <v>4</v>
      </c>
      <c r="D245" s="2" t="s">
        <v>5</v>
      </c>
      <c r="AL245" s="2">
        <v>46.5639839682946</v>
      </c>
      <c r="AM245" s="2">
        <v>46.182183503465</v>
      </c>
      <c r="AN245" s="2">
        <v>47.6646821855425</v>
      </c>
      <c r="AO245" s="2">
        <v>48.7664992694092</v>
      </c>
      <c r="AP245" s="2">
        <v>50.2960104925638</v>
      </c>
      <c r="AQ245" s="2">
        <v>52.2303738805993</v>
      </c>
      <c r="AR245" s="2">
        <v>56.0177412007675</v>
      </c>
      <c r="AS245" s="2">
        <v>56.7664246764092</v>
      </c>
      <c r="AT245" s="2">
        <v>58.3485213159577</v>
      </c>
      <c r="AU245" s="2">
        <v>59.415783976672</v>
      </c>
      <c r="AV245" s="2">
        <v>62.3411030558805</v>
      </c>
      <c r="AW245" s="2">
        <v>61.4842830339197</v>
      </c>
      <c r="AX245" s="2">
        <v>65.8536460162923</v>
      </c>
      <c r="AY245" s="2">
        <v>65.9235565867572</v>
      </c>
      <c r="AZ245" s="2">
        <v>69.284881859242</v>
      </c>
      <c r="BA245" s="2">
        <v>71.778258866002</v>
      </c>
      <c r="BB245" s="2">
        <v>72.9865860973521</v>
      </c>
      <c r="BC245" s="2">
        <v>74.0765736340237</v>
      </c>
      <c r="BD245" s="2">
        <v>77.3091651585732</v>
      </c>
      <c r="BE245" s="2">
        <v>78.4195444509049</v>
      </c>
      <c r="BF245" s="2">
        <v>80.847453203069</v>
      </c>
      <c r="BG245" s="2">
        <v>82.8480224291431</v>
      </c>
      <c r="BH245" s="2">
        <v>86.5327784624672</v>
      </c>
      <c r="BI245" s="2">
        <v>88.3184480403398</v>
      </c>
      <c r="BJ245" s="2">
        <v>91.3983728307397</v>
      </c>
      <c r="BK245" s="2">
        <v>94.8192024055978</v>
      </c>
      <c r="BL245" s="2">
        <v>95.4698953988653</v>
      </c>
      <c r="BM245" s="2">
        <v>96.4013617397441</v>
      </c>
      <c r="BN245" s="2">
        <v>99.3693129133951</v>
      </c>
      <c r="BO245" s="2">
        <v>99.0895114731934</v>
      </c>
      <c r="BP245" s="2">
        <v>99.4087889697405</v>
      </c>
      <c r="BQ245" s="2">
        <v>99.8246424902051</v>
      </c>
      <c r="BS245" s="3" t="str">
        <f>VLOOKUP(B245, Metadata!A:B, 2, FALSE)</f>
        <v/>
      </c>
    </row>
    <row r="246" hidden="1">
      <c r="A246" s="2" t="s">
        <v>521</v>
      </c>
      <c r="B246" s="2" t="s">
        <v>366</v>
      </c>
      <c r="C246" s="2" t="s">
        <v>4</v>
      </c>
      <c r="D246" s="2" t="s">
        <v>5</v>
      </c>
      <c r="AO246" s="2">
        <v>28.5123843828768</v>
      </c>
      <c r="AP246" s="2">
        <v>28.3636336834061</v>
      </c>
      <c r="AQ246" s="2">
        <v>28.5684460215178</v>
      </c>
      <c r="AR246" s="2">
        <v>30.148932101517</v>
      </c>
      <c r="AS246" s="2">
        <v>25.7053969564838</v>
      </c>
      <c r="AT246" s="2">
        <v>26.1642186852803</v>
      </c>
      <c r="AU246" s="2">
        <v>27.3397731379138</v>
      </c>
      <c r="AV246" s="2">
        <v>29.5965015810781</v>
      </c>
      <c r="AW246" s="2">
        <v>29.3725662739367</v>
      </c>
      <c r="AX246" s="2">
        <v>29.3516433048232</v>
      </c>
      <c r="AY246" s="2">
        <v>31.2034877715293</v>
      </c>
      <c r="AZ246" s="2">
        <v>32.5193334285169</v>
      </c>
      <c r="BA246" s="2">
        <v>32.4036605998828</v>
      </c>
      <c r="BB246" s="2">
        <v>32.6259292020567</v>
      </c>
      <c r="BC246" s="2">
        <v>33.3364008805919</v>
      </c>
      <c r="BD246" s="2">
        <v>35.8991006065751</v>
      </c>
      <c r="BE246" s="2">
        <v>36.7751781158828</v>
      </c>
      <c r="BF246" s="2">
        <v>38.0305164719493</v>
      </c>
      <c r="BG246" s="2">
        <v>38.3505383635735</v>
      </c>
      <c r="BH246" s="2">
        <v>39.1964738206413</v>
      </c>
      <c r="BI246" s="2">
        <v>43.8283095558868</v>
      </c>
      <c r="BJ246" s="2">
        <v>43.7599451875648</v>
      </c>
      <c r="BK246" s="2">
        <v>46.4140889472825</v>
      </c>
      <c r="BL246" s="2">
        <v>47.1934897675941</v>
      </c>
      <c r="BM246" s="2">
        <v>48.5408462612868</v>
      </c>
      <c r="BN246" s="2">
        <v>50.6526785971142</v>
      </c>
      <c r="BO246" s="2">
        <v>51.5078310982515</v>
      </c>
      <c r="BP246" s="2">
        <v>53.2507689805499</v>
      </c>
      <c r="BQ246" s="2">
        <v>55.1103542559</v>
      </c>
      <c r="BS246" s="3" t="str">
        <f>VLOOKUP(B246, Metadata!A:B, 2, FALSE)</f>
        <v/>
      </c>
    </row>
    <row r="247" hidden="1">
      <c r="A247" s="2" t="s">
        <v>522</v>
      </c>
      <c r="B247" s="2" t="s">
        <v>367</v>
      </c>
      <c r="C247" s="2" t="s">
        <v>4</v>
      </c>
      <c r="D247" s="2" t="s">
        <v>5</v>
      </c>
      <c r="AS247" s="2">
        <v>91.3</v>
      </c>
      <c r="AT247" s="2">
        <v>96.3</v>
      </c>
      <c r="AU247" s="2">
        <v>96.5</v>
      </c>
      <c r="AV247" s="2">
        <v>96.7</v>
      </c>
      <c r="AW247" s="2">
        <v>96.8</v>
      </c>
      <c r="AX247" s="2">
        <v>95.0</v>
      </c>
      <c r="AY247" s="2">
        <v>100.0</v>
      </c>
      <c r="AZ247" s="2">
        <v>100.0</v>
      </c>
      <c r="BA247" s="2">
        <v>100.0</v>
      </c>
      <c r="BB247" s="2">
        <v>99.0</v>
      </c>
      <c r="BC247" s="2">
        <v>100.0</v>
      </c>
      <c r="BD247" s="2">
        <v>97.5</v>
      </c>
      <c r="BE247" s="2">
        <v>100.0</v>
      </c>
      <c r="BF247" s="2">
        <v>100.0</v>
      </c>
      <c r="BG247" s="2">
        <v>100.0</v>
      </c>
      <c r="BH247" s="2">
        <v>100.0</v>
      </c>
      <c r="BI247" s="2">
        <v>100.0</v>
      </c>
      <c r="BJ247" s="2">
        <v>100.0</v>
      </c>
      <c r="BK247" s="2">
        <v>100.0</v>
      </c>
      <c r="BL247" s="2">
        <v>100.0</v>
      </c>
      <c r="BM247" s="2">
        <v>100.0</v>
      </c>
      <c r="BN247" s="2">
        <v>100.0</v>
      </c>
      <c r="BO247" s="2">
        <v>100.0</v>
      </c>
      <c r="BP247" s="2">
        <v>98.7</v>
      </c>
      <c r="BQ247" s="2">
        <v>100.0</v>
      </c>
      <c r="BS247" s="3" t="str">
        <f>VLOOKUP(B247, Metadata!A:B, 2, FALSE)</f>
        <v>Latin America &amp; Caribbean</v>
      </c>
    </row>
    <row r="248" hidden="1">
      <c r="A248" s="2" t="s">
        <v>523</v>
      </c>
      <c r="B248" s="2" t="s">
        <v>368</v>
      </c>
      <c r="C248" s="2" t="s">
        <v>4</v>
      </c>
      <c r="D248" s="2" t="s">
        <v>5</v>
      </c>
      <c r="AM248" s="2">
        <v>86.8</v>
      </c>
      <c r="AN248" s="2">
        <v>88.7</v>
      </c>
      <c r="AO248" s="2">
        <v>90.4</v>
      </c>
      <c r="AP248" s="2">
        <v>92.0</v>
      </c>
      <c r="AQ248" s="2">
        <v>93.2</v>
      </c>
      <c r="AR248" s="2">
        <v>94.2</v>
      </c>
      <c r="AS248" s="2">
        <v>94.8</v>
      </c>
      <c r="AT248" s="2">
        <v>97.3</v>
      </c>
      <c r="AU248" s="2">
        <v>97.8</v>
      </c>
      <c r="AV248" s="2">
        <v>98.4</v>
      </c>
      <c r="AW248" s="2">
        <v>99.0</v>
      </c>
      <c r="AX248" s="2">
        <v>99.2</v>
      </c>
      <c r="AY248" s="2">
        <v>99.4</v>
      </c>
      <c r="AZ248" s="2">
        <v>99.4</v>
      </c>
      <c r="BA248" s="2">
        <v>99.4</v>
      </c>
      <c r="BB248" s="2">
        <v>99.5</v>
      </c>
      <c r="BC248" s="2">
        <v>99.5</v>
      </c>
      <c r="BD248" s="2">
        <v>99.5</v>
      </c>
      <c r="BE248" s="2">
        <v>99.5</v>
      </c>
      <c r="BF248" s="2">
        <v>99.7</v>
      </c>
      <c r="BG248" s="2">
        <v>99.8</v>
      </c>
      <c r="BH248" s="2">
        <v>99.9</v>
      </c>
      <c r="BI248" s="2">
        <v>100.0</v>
      </c>
      <c r="BJ248" s="2">
        <v>100.0</v>
      </c>
      <c r="BK248" s="2">
        <v>99.8</v>
      </c>
      <c r="BL248" s="2">
        <v>100.0</v>
      </c>
      <c r="BM248" s="2">
        <v>99.9</v>
      </c>
      <c r="BN248" s="2">
        <v>99.9</v>
      </c>
      <c r="BO248" s="2">
        <v>100.0</v>
      </c>
      <c r="BP248" s="2">
        <v>100.0</v>
      </c>
      <c r="BQ248" s="2">
        <v>100.0</v>
      </c>
      <c r="BS248" s="3" t="str">
        <f>VLOOKUP(B248, Metadata!A:B, 2, FALSE)</f>
        <v>Middle East &amp; North Africa</v>
      </c>
    </row>
    <row r="249" hidden="1">
      <c r="A249" s="2" t="s">
        <v>524</v>
      </c>
      <c r="B249" s="2" t="s">
        <v>369</v>
      </c>
      <c r="C249" s="2" t="s">
        <v>4</v>
      </c>
      <c r="D249" s="2" t="s">
        <v>5</v>
      </c>
      <c r="AS249" s="2">
        <v>99.9</v>
      </c>
      <c r="AT249" s="2">
        <v>99.9</v>
      </c>
      <c r="AU249" s="2">
        <v>99.8</v>
      </c>
      <c r="AV249" s="2">
        <v>99.8</v>
      </c>
      <c r="AW249" s="2">
        <v>99.7</v>
      </c>
      <c r="AX249" s="2">
        <v>99.7</v>
      </c>
      <c r="AY249" s="2">
        <v>99.7</v>
      </c>
      <c r="AZ249" s="2">
        <v>99.7</v>
      </c>
      <c r="BA249" s="2">
        <v>99.7</v>
      </c>
      <c r="BB249" s="2">
        <v>99.7</v>
      </c>
      <c r="BC249" s="2">
        <v>100.0</v>
      </c>
      <c r="BD249" s="2">
        <v>100.0</v>
      </c>
      <c r="BE249" s="2">
        <v>100.0</v>
      </c>
      <c r="BF249" s="2">
        <v>100.0</v>
      </c>
      <c r="BG249" s="2">
        <v>100.0</v>
      </c>
      <c r="BH249" s="2">
        <v>100.0</v>
      </c>
      <c r="BI249" s="2">
        <v>100.0</v>
      </c>
      <c r="BJ249" s="2">
        <v>100.0</v>
      </c>
      <c r="BK249" s="2">
        <v>100.0</v>
      </c>
      <c r="BL249" s="2">
        <v>100.0</v>
      </c>
      <c r="BM249" s="2">
        <v>100.0</v>
      </c>
      <c r="BN249" s="2">
        <v>100.0</v>
      </c>
      <c r="BO249" s="2">
        <v>100.0</v>
      </c>
      <c r="BP249" s="2">
        <v>100.0</v>
      </c>
      <c r="BQ249" s="2">
        <v>100.0</v>
      </c>
      <c r="BS249" s="3" t="str">
        <f>VLOOKUP(B249, Metadata!A:B, 2, FALSE)</f>
        <v>Europe &amp; Central Asia</v>
      </c>
    </row>
    <row r="250" hidden="1">
      <c r="A250" s="2" t="s">
        <v>525</v>
      </c>
      <c r="B250" s="2" t="s">
        <v>370</v>
      </c>
      <c r="C250" s="2" t="s">
        <v>4</v>
      </c>
      <c r="D250" s="2" t="s">
        <v>5</v>
      </c>
      <c r="AS250" s="2">
        <v>94.6</v>
      </c>
      <c r="AT250" s="2">
        <v>94.8</v>
      </c>
      <c r="AU250" s="2">
        <v>94.6</v>
      </c>
      <c r="AV250" s="2">
        <v>95.1</v>
      </c>
      <c r="AW250" s="2">
        <v>95.3</v>
      </c>
      <c r="AX250" s="2">
        <v>95.5</v>
      </c>
      <c r="AY250" s="2">
        <v>95.7</v>
      </c>
      <c r="AZ250" s="2">
        <v>96.7</v>
      </c>
      <c r="BA250" s="2">
        <v>96.2</v>
      </c>
      <c r="BB250" s="2">
        <v>96.5</v>
      </c>
      <c r="BC250" s="2">
        <v>96.7</v>
      </c>
      <c r="BD250" s="2">
        <v>97.0</v>
      </c>
      <c r="BE250" s="2">
        <v>97.7</v>
      </c>
      <c r="BF250" s="2">
        <v>97.6</v>
      </c>
      <c r="BG250" s="2">
        <v>97.9</v>
      </c>
      <c r="BH250" s="2">
        <v>98.1</v>
      </c>
      <c r="BI250" s="2">
        <v>97.3</v>
      </c>
      <c r="BJ250" s="2">
        <v>98.7</v>
      </c>
      <c r="BK250" s="2">
        <v>99.0</v>
      </c>
      <c r="BL250" s="2">
        <v>99.7</v>
      </c>
      <c r="BM250" s="2">
        <v>99.4</v>
      </c>
      <c r="BN250" s="2">
        <v>99.7</v>
      </c>
      <c r="BO250" s="2">
        <v>100.0</v>
      </c>
      <c r="BP250" s="2">
        <v>100.0</v>
      </c>
      <c r="BQ250" s="2">
        <v>100.0</v>
      </c>
      <c r="BS250" s="3" t="str">
        <f>VLOOKUP(B250, Metadata!A:B, 2, FALSE)</f>
        <v>East Asia &amp; Pacific</v>
      </c>
    </row>
    <row r="251">
      <c r="A251" s="2" t="s">
        <v>38</v>
      </c>
      <c r="B251" s="2" t="s">
        <v>39</v>
      </c>
      <c r="C251" s="2" t="s">
        <v>4</v>
      </c>
      <c r="D251" s="2" t="s">
        <v>5</v>
      </c>
      <c r="AK251" s="2">
        <v>6.8</v>
      </c>
      <c r="AL251" s="2">
        <v>2.33018779754639</v>
      </c>
      <c r="AM251" s="2">
        <v>3.30064725875854</v>
      </c>
      <c r="AN251" s="2">
        <v>4.26906728744507</v>
      </c>
      <c r="AO251" s="2">
        <v>9.4</v>
      </c>
      <c r="AP251" s="2">
        <v>6.1970682144165</v>
      </c>
      <c r="AQ251" s="2">
        <v>7.15528964996338</v>
      </c>
      <c r="AR251" s="2">
        <v>8.0</v>
      </c>
      <c r="AS251" s="2">
        <v>8.7</v>
      </c>
      <c r="AT251" s="2">
        <v>9.7</v>
      </c>
      <c r="AU251" s="2">
        <v>10.7</v>
      </c>
      <c r="AV251" s="2">
        <v>11.1</v>
      </c>
      <c r="AW251" s="2">
        <v>11.4</v>
      </c>
      <c r="AX251" s="2">
        <v>13.8</v>
      </c>
      <c r="AY251" s="2">
        <v>14.9</v>
      </c>
      <c r="AZ251" s="2">
        <v>15.9</v>
      </c>
      <c r="BA251" s="2">
        <v>11.5</v>
      </c>
      <c r="BB251" s="2">
        <v>11.2</v>
      </c>
      <c r="BC251" s="2">
        <v>14.8</v>
      </c>
      <c r="BD251" s="2">
        <v>14.2</v>
      </c>
      <c r="BE251" s="2">
        <v>15.3</v>
      </c>
      <c r="BF251" s="2">
        <v>16.4</v>
      </c>
      <c r="BG251" s="2">
        <v>23.5</v>
      </c>
      <c r="BH251" s="2">
        <v>26.2</v>
      </c>
      <c r="BI251" s="2">
        <v>32.8</v>
      </c>
      <c r="BJ251" s="2">
        <v>32.1</v>
      </c>
      <c r="BK251" s="2">
        <v>34.9</v>
      </c>
      <c r="BL251" s="2">
        <v>37.7</v>
      </c>
      <c r="BM251" s="2">
        <v>39.9</v>
      </c>
      <c r="BN251" s="2">
        <v>42.7</v>
      </c>
      <c r="BO251" s="2">
        <v>45.8</v>
      </c>
      <c r="BP251" s="2">
        <v>48.3</v>
      </c>
      <c r="BQ251" s="2">
        <v>52.4</v>
      </c>
      <c r="BS251" s="3" t="str">
        <f>VLOOKUP(B251, Metadata!A:B, 2, FALSE)</f>
        <v>Sub-Saharan Africa</v>
      </c>
      <c r="BT251" s="3">
        <f>VLOOKUP(B247,Population!A:B,2,FALSE)*(1-BP247/100)</f>
        <v>17777.63</v>
      </c>
    </row>
    <row r="252">
      <c r="A252" s="2" t="s">
        <v>526</v>
      </c>
      <c r="B252" s="2" t="s">
        <v>372</v>
      </c>
      <c r="C252" s="2" t="s">
        <v>4</v>
      </c>
      <c r="D252" s="2" t="s">
        <v>5</v>
      </c>
      <c r="AJ252" s="2">
        <v>5.6</v>
      </c>
      <c r="AM252" s="2">
        <v>0.533898532390594</v>
      </c>
      <c r="AN252" s="2">
        <v>6.8</v>
      </c>
      <c r="AO252" s="2">
        <v>2.81110429763794</v>
      </c>
      <c r="AP252" s="2">
        <v>3.94494771957397</v>
      </c>
      <c r="AQ252" s="2">
        <v>5.07471179962158</v>
      </c>
      <c r="AR252" s="2">
        <v>6.19963407516479</v>
      </c>
      <c r="AS252" s="2">
        <v>7.4</v>
      </c>
      <c r="AT252" s="2">
        <v>8.6</v>
      </c>
      <c r="AU252" s="2">
        <v>7.8</v>
      </c>
      <c r="AV252" s="2">
        <v>10.5</v>
      </c>
      <c r="AW252" s="2">
        <v>11.6</v>
      </c>
      <c r="AX252" s="2">
        <v>8.9</v>
      </c>
      <c r="AY252" s="2">
        <v>9.0</v>
      </c>
      <c r="AZ252" s="2">
        <v>14.8</v>
      </c>
      <c r="BA252" s="2">
        <v>15.9</v>
      </c>
      <c r="BB252" s="2">
        <v>10.0</v>
      </c>
      <c r="BC252" s="2">
        <v>12.1</v>
      </c>
      <c r="BD252" s="2">
        <v>14.6</v>
      </c>
      <c r="BE252" s="2">
        <v>20.5</v>
      </c>
      <c r="BF252" s="2">
        <v>13.9</v>
      </c>
      <c r="BG252" s="2">
        <v>20.4</v>
      </c>
      <c r="BH252" s="2">
        <v>18.5</v>
      </c>
      <c r="BI252" s="2">
        <v>26.7</v>
      </c>
      <c r="BJ252" s="2">
        <v>32.4</v>
      </c>
      <c r="BK252" s="2">
        <v>41.9</v>
      </c>
      <c r="BL252" s="2">
        <v>41.3</v>
      </c>
      <c r="BM252" s="2">
        <v>42.1</v>
      </c>
      <c r="BN252" s="2">
        <v>45.2</v>
      </c>
      <c r="BO252" s="2">
        <v>47.1</v>
      </c>
      <c r="BP252" s="2">
        <v>51.5</v>
      </c>
      <c r="BQ252" s="2">
        <v>55.3</v>
      </c>
      <c r="BS252" s="3" t="str">
        <f>VLOOKUP(B252, Metadata!A:B, 2, FALSE)</f>
        <v>Sub-Saharan Africa</v>
      </c>
      <c r="BT252" s="3">
        <f>VLOOKUP(B248,Population!A:B,2,FALSE)*(1-BP248/100)</f>
        <v>0</v>
      </c>
    </row>
    <row r="253" hidden="1">
      <c r="A253" s="2" t="s">
        <v>527</v>
      </c>
      <c r="B253" s="2" t="s">
        <v>373</v>
      </c>
      <c r="C253" s="2" t="s">
        <v>4</v>
      </c>
      <c r="D253" s="2" t="s">
        <v>5</v>
      </c>
      <c r="AI253" s="2">
        <v>100.0</v>
      </c>
      <c r="AJ253" s="2">
        <v>100.0</v>
      </c>
      <c r="AK253" s="2">
        <v>100.0</v>
      </c>
      <c r="AL253" s="2">
        <v>100.0</v>
      </c>
      <c r="AM253" s="2">
        <v>100.0</v>
      </c>
      <c r="AN253" s="2">
        <v>100.0</v>
      </c>
      <c r="AO253" s="2">
        <v>100.0</v>
      </c>
      <c r="AP253" s="2">
        <v>100.0</v>
      </c>
      <c r="AQ253" s="2">
        <v>100.0</v>
      </c>
      <c r="AR253" s="2">
        <v>100.0</v>
      </c>
      <c r="AS253" s="2">
        <v>99.1</v>
      </c>
      <c r="AT253" s="2">
        <v>99.2</v>
      </c>
      <c r="AU253" s="2">
        <v>99.3</v>
      </c>
      <c r="AV253" s="2">
        <v>99.3</v>
      </c>
      <c r="AW253" s="2">
        <v>99.4</v>
      </c>
      <c r="AX253" s="2">
        <v>99.9</v>
      </c>
      <c r="AY253" s="2">
        <v>99.5</v>
      </c>
      <c r="AZ253" s="2">
        <v>99.8</v>
      </c>
      <c r="BA253" s="2">
        <v>99.8</v>
      </c>
      <c r="BB253" s="2">
        <v>99.9</v>
      </c>
      <c r="BC253" s="2">
        <v>100.0</v>
      </c>
      <c r="BD253" s="2">
        <v>100.0</v>
      </c>
      <c r="BE253" s="2">
        <v>99.9</v>
      </c>
      <c r="BF253" s="2">
        <v>100.0</v>
      </c>
      <c r="BG253" s="2">
        <v>100.0</v>
      </c>
      <c r="BH253" s="2">
        <v>100.0</v>
      </c>
      <c r="BI253" s="2">
        <v>100.0</v>
      </c>
      <c r="BJ253" s="2">
        <v>100.0</v>
      </c>
      <c r="BK253" s="2">
        <v>100.0</v>
      </c>
      <c r="BL253" s="2">
        <v>100.0</v>
      </c>
      <c r="BM253" s="2">
        <v>100.0</v>
      </c>
      <c r="BN253" s="2">
        <v>100.0</v>
      </c>
      <c r="BO253" s="2">
        <v>100.0</v>
      </c>
      <c r="BP253" s="2">
        <v>100.0</v>
      </c>
      <c r="BQ253" s="2">
        <v>100.0</v>
      </c>
      <c r="BS253" s="3" t="str">
        <f>VLOOKUP(B253, Metadata!A:B, 2, FALSE)</f>
        <v>Europe &amp; Central Asia</v>
      </c>
    </row>
    <row r="254" hidden="1">
      <c r="A254" s="2" t="s">
        <v>440</v>
      </c>
      <c r="B254" s="2" t="s">
        <v>374</v>
      </c>
      <c r="C254" s="2" t="s">
        <v>4</v>
      </c>
      <c r="D254" s="2" t="s">
        <v>5</v>
      </c>
      <c r="AS254" s="2">
        <v>93.383589282835</v>
      </c>
      <c r="AT254" s="2">
        <v>93.828406632036</v>
      </c>
      <c r="AU254" s="2">
        <v>94.4120199027008</v>
      </c>
      <c r="AV254" s="2">
        <v>94.5879897414037</v>
      </c>
      <c r="AW254" s="2">
        <v>95.3152544864712</v>
      </c>
      <c r="AX254" s="2">
        <v>95.0821595977721</v>
      </c>
      <c r="AY254" s="2">
        <v>96.0089704311174</v>
      </c>
      <c r="AZ254" s="2">
        <v>96.0944685837423</v>
      </c>
      <c r="BA254" s="2">
        <v>96.6142381029523</v>
      </c>
      <c r="BB254" s="2">
        <v>97.1256295305401</v>
      </c>
      <c r="BC254" s="2">
        <v>97.6431951581335</v>
      </c>
      <c r="BD254" s="2">
        <v>97.9642268083969</v>
      </c>
      <c r="BE254" s="2">
        <v>98.133055889863</v>
      </c>
      <c r="BF254" s="2">
        <v>98.3421560422168</v>
      </c>
      <c r="BG254" s="2">
        <v>98.5568206636916</v>
      </c>
      <c r="BH254" s="2">
        <v>98.6185166326867</v>
      </c>
      <c r="BI254" s="2">
        <v>98.7756878322756</v>
      </c>
      <c r="BJ254" s="2">
        <v>98.9531126307269</v>
      </c>
      <c r="BK254" s="2">
        <v>99.0283931905422</v>
      </c>
      <c r="BL254" s="2">
        <v>99.1308662220903</v>
      </c>
      <c r="BM254" s="2">
        <v>99.1389999180209</v>
      </c>
      <c r="BN254" s="2">
        <v>99.3872057592045</v>
      </c>
      <c r="BO254" s="2">
        <v>99.3537615814474</v>
      </c>
      <c r="BP254" s="2">
        <v>99.392898640485</v>
      </c>
      <c r="BQ254" s="2">
        <v>99.3152839959032</v>
      </c>
      <c r="BS254" s="3" t="str">
        <f>VLOOKUP(B254, Metadata!A:B, 2, FALSE)</f>
        <v/>
      </c>
    </row>
    <row r="255" hidden="1">
      <c r="A255" s="2" t="s">
        <v>528</v>
      </c>
      <c r="B255" s="2" t="s">
        <v>375</v>
      </c>
      <c r="C255" s="2" t="s">
        <v>4</v>
      </c>
      <c r="D255" s="2" t="s">
        <v>5</v>
      </c>
      <c r="AK255" s="2">
        <v>96.1823120117188</v>
      </c>
      <c r="AL255" s="2">
        <v>96.3630599975586</v>
      </c>
      <c r="AM255" s="2">
        <v>96.5424499511719</v>
      </c>
      <c r="AN255" s="2">
        <v>96.7197952270508</v>
      </c>
      <c r="AO255" s="2">
        <v>95.9</v>
      </c>
      <c r="AP255" s="2">
        <v>97.0656509399414</v>
      </c>
      <c r="AQ255" s="2">
        <v>97.2328033447266</v>
      </c>
      <c r="AR255" s="2">
        <v>97.3951110839844</v>
      </c>
      <c r="AS255" s="2">
        <v>97.6</v>
      </c>
      <c r="AT255" s="2">
        <v>97.7</v>
      </c>
      <c r="AU255" s="2">
        <v>97.8</v>
      </c>
      <c r="AV255" s="2">
        <v>97.9</v>
      </c>
      <c r="AW255" s="2">
        <v>98.0</v>
      </c>
      <c r="AX255" s="2">
        <v>98.0</v>
      </c>
      <c r="AY255" s="2">
        <v>98.5</v>
      </c>
      <c r="AZ255" s="2">
        <v>98.7</v>
      </c>
      <c r="BA255" s="2">
        <v>98.8</v>
      </c>
      <c r="BB255" s="2">
        <v>99.1</v>
      </c>
      <c r="BC255" s="2">
        <v>99.3</v>
      </c>
      <c r="BD255" s="2">
        <v>99.2</v>
      </c>
      <c r="BE255" s="2">
        <v>99.6</v>
      </c>
      <c r="BF255" s="2">
        <v>99.6</v>
      </c>
      <c r="BG255" s="2">
        <v>99.7</v>
      </c>
      <c r="BH255" s="2">
        <v>99.7</v>
      </c>
      <c r="BI255" s="2">
        <v>99.7</v>
      </c>
      <c r="BJ255" s="2">
        <v>99.8</v>
      </c>
      <c r="BK255" s="2">
        <v>99.8</v>
      </c>
      <c r="BL255" s="2">
        <v>99.9</v>
      </c>
      <c r="BM255" s="2">
        <v>100.0</v>
      </c>
      <c r="BN255" s="2">
        <v>100.0</v>
      </c>
      <c r="BO255" s="2">
        <v>100.0</v>
      </c>
      <c r="BP255" s="2">
        <v>100.0</v>
      </c>
      <c r="BQ255" s="2">
        <v>100.0</v>
      </c>
      <c r="BS255" s="3" t="str">
        <f>VLOOKUP(B255, Metadata!A:B, 2, FALSE)</f>
        <v>Latin America &amp; Caribbean</v>
      </c>
    </row>
    <row r="256" hidden="1">
      <c r="A256" s="2" t="s">
        <v>529</v>
      </c>
      <c r="B256" s="2" t="s">
        <v>376</v>
      </c>
      <c r="C256" s="2" t="s">
        <v>4</v>
      </c>
      <c r="D256" s="2" t="s">
        <v>5</v>
      </c>
      <c r="AI256" s="2">
        <v>100.0</v>
      </c>
      <c r="AJ256" s="2">
        <v>100.0</v>
      </c>
      <c r="AK256" s="2">
        <v>100.0</v>
      </c>
      <c r="AL256" s="2">
        <v>100.0</v>
      </c>
      <c r="AM256" s="2">
        <v>100.0</v>
      </c>
      <c r="AN256" s="2">
        <v>100.0</v>
      </c>
      <c r="AO256" s="2">
        <v>100.0</v>
      </c>
      <c r="AP256" s="2">
        <v>100.0</v>
      </c>
      <c r="AQ256" s="2">
        <v>100.0</v>
      </c>
      <c r="AR256" s="2">
        <v>100.0</v>
      </c>
      <c r="AS256" s="2">
        <v>100.0</v>
      </c>
      <c r="AT256" s="2">
        <v>100.0</v>
      </c>
      <c r="AU256" s="2">
        <v>100.0</v>
      </c>
      <c r="AV256" s="2">
        <v>100.0</v>
      </c>
      <c r="AW256" s="2">
        <v>100.0</v>
      </c>
      <c r="AX256" s="2">
        <v>100.0</v>
      </c>
      <c r="AY256" s="2">
        <v>100.0</v>
      </c>
      <c r="AZ256" s="2">
        <v>100.0</v>
      </c>
      <c r="BA256" s="2">
        <v>100.0</v>
      </c>
      <c r="BB256" s="2">
        <v>100.0</v>
      </c>
      <c r="BC256" s="2">
        <v>100.0</v>
      </c>
      <c r="BD256" s="2">
        <v>100.0</v>
      </c>
      <c r="BE256" s="2">
        <v>100.0</v>
      </c>
      <c r="BF256" s="2">
        <v>100.0</v>
      </c>
      <c r="BG256" s="2">
        <v>100.0</v>
      </c>
      <c r="BH256" s="2">
        <v>100.0</v>
      </c>
      <c r="BI256" s="2">
        <v>100.0</v>
      </c>
      <c r="BJ256" s="2">
        <v>100.0</v>
      </c>
      <c r="BK256" s="2">
        <v>100.0</v>
      </c>
      <c r="BL256" s="2">
        <v>100.0</v>
      </c>
      <c r="BM256" s="2">
        <v>100.0</v>
      </c>
      <c r="BN256" s="2">
        <v>100.0</v>
      </c>
      <c r="BO256" s="2">
        <v>100.0</v>
      </c>
      <c r="BP256" s="2">
        <v>100.0</v>
      </c>
      <c r="BQ256" s="2">
        <v>100.0</v>
      </c>
      <c r="BS256" s="3" t="str">
        <f>VLOOKUP(B256, Metadata!A:B, 2, FALSE)</f>
        <v>North America</v>
      </c>
    </row>
    <row r="257" hidden="1">
      <c r="A257" s="2" t="s">
        <v>530</v>
      </c>
      <c r="B257" s="2" t="s">
        <v>377</v>
      </c>
      <c r="C257" s="2" t="s">
        <v>4</v>
      </c>
      <c r="D257" s="2" t="s">
        <v>5</v>
      </c>
      <c r="AO257" s="2">
        <v>99.6</v>
      </c>
      <c r="AP257" s="2">
        <v>99.3797454833984</v>
      </c>
      <c r="AQ257" s="2">
        <v>99.449348449707</v>
      </c>
      <c r="AR257" s="2">
        <v>99.5141143798828</v>
      </c>
      <c r="AS257" s="2">
        <v>99.6</v>
      </c>
      <c r="AT257" s="2">
        <v>99.6</v>
      </c>
      <c r="AU257" s="2">
        <v>99.7</v>
      </c>
      <c r="AV257" s="2">
        <v>99.5</v>
      </c>
      <c r="AW257" s="2">
        <v>99.5</v>
      </c>
      <c r="AX257" s="2">
        <v>99.4</v>
      </c>
      <c r="AY257" s="2">
        <v>99.5</v>
      </c>
      <c r="AZ257" s="2">
        <v>99.5</v>
      </c>
      <c r="BA257" s="2">
        <v>99.5</v>
      </c>
      <c r="BB257" s="2">
        <v>99.5</v>
      </c>
      <c r="BC257" s="2">
        <v>99.6</v>
      </c>
      <c r="BD257" s="2">
        <v>99.7</v>
      </c>
      <c r="BE257" s="2">
        <v>99.7</v>
      </c>
      <c r="BF257" s="2">
        <v>99.8</v>
      </c>
      <c r="BG257" s="2">
        <v>99.8</v>
      </c>
      <c r="BH257" s="2">
        <v>99.9</v>
      </c>
      <c r="BI257" s="2">
        <v>99.9</v>
      </c>
      <c r="BJ257" s="2">
        <v>100.0</v>
      </c>
      <c r="BK257" s="2">
        <v>100.0</v>
      </c>
      <c r="BL257" s="2">
        <v>100.0</v>
      </c>
      <c r="BM257" s="2">
        <v>100.0</v>
      </c>
      <c r="BN257" s="2">
        <v>99.9</v>
      </c>
      <c r="BO257" s="2">
        <v>100.0</v>
      </c>
      <c r="BP257" s="2">
        <v>100.0</v>
      </c>
      <c r="BQ257" s="2">
        <v>100.0</v>
      </c>
      <c r="BS257" s="3" t="str">
        <f>VLOOKUP(B257, Metadata!A:B, 2, FALSE)</f>
        <v>Europe &amp; Central Asia</v>
      </c>
    </row>
    <row r="258" hidden="1">
      <c r="A258" s="2" t="s">
        <v>531</v>
      </c>
      <c r="B258" s="2" t="s">
        <v>378</v>
      </c>
      <c r="C258" s="2" t="s">
        <v>4</v>
      </c>
      <c r="D258" s="2" t="s">
        <v>5</v>
      </c>
      <c r="AJ258" s="2">
        <v>66.8</v>
      </c>
      <c r="AK258" s="2">
        <v>69.1144332885742</v>
      </c>
      <c r="AL258" s="2">
        <v>70.46484375</v>
      </c>
      <c r="AM258" s="2">
        <v>71.8138961791992</v>
      </c>
      <c r="AN258" s="2">
        <v>73.1609039306641</v>
      </c>
      <c r="AO258" s="2">
        <v>74.5052032470703</v>
      </c>
      <c r="AP258" s="2">
        <v>75.8460922241211</v>
      </c>
      <c r="AQ258" s="2">
        <v>77.1829071044922</v>
      </c>
      <c r="AR258" s="2">
        <v>78.5148773193359</v>
      </c>
      <c r="AS258" s="2">
        <v>80.0</v>
      </c>
      <c r="AT258" s="2">
        <v>82.4</v>
      </c>
      <c r="AU258" s="2">
        <v>82.4</v>
      </c>
      <c r="AV258" s="2">
        <v>83.7</v>
      </c>
      <c r="AW258" s="2">
        <v>84.9</v>
      </c>
      <c r="AX258" s="2">
        <v>86.2</v>
      </c>
      <c r="AY258" s="2">
        <v>87.5</v>
      </c>
      <c r="AZ258" s="2">
        <v>88.8</v>
      </c>
      <c r="BA258" s="2">
        <v>90.1</v>
      </c>
      <c r="BB258" s="2">
        <v>91.4</v>
      </c>
      <c r="BC258" s="2">
        <v>92.7</v>
      </c>
      <c r="BD258" s="2">
        <v>94.1</v>
      </c>
      <c r="BE258" s="2">
        <v>95.4</v>
      </c>
      <c r="BF258" s="2">
        <v>96.8</v>
      </c>
      <c r="BG258" s="2">
        <v>98.1</v>
      </c>
      <c r="BH258" s="2">
        <v>99.4</v>
      </c>
      <c r="BI258" s="2">
        <v>99.7</v>
      </c>
      <c r="BJ258" s="2">
        <v>100.0</v>
      </c>
      <c r="BK258" s="2">
        <v>100.0</v>
      </c>
      <c r="BL258" s="2">
        <v>100.0</v>
      </c>
      <c r="BM258" s="2">
        <v>100.0</v>
      </c>
      <c r="BN258" s="2">
        <v>100.0</v>
      </c>
      <c r="BO258" s="2">
        <v>100.0</v>
      </c>
      <c r="BP258" s="2">
        <v>100.0</v>
      </c>
      <c r="BQ258" s="2">
        <v>100.0</v>
      </c>
      <c r="BS258" s="3" t="str">
        <f>VLOOKUP(B258, Metadata!A:B, 2, FALSE)</f>
        <v>Latin America &amp; Caribbean</v>
      </c>
    </row>
    <row r="259" hidden="1">
      <c r="A259" s="2" t="s">
        <v>532</v>
      </c>
      <c r="B259" s="2" t="s">
        <v>379</v>
      </c>
      <c r="C259" s="2" t="s">
        <v>4</v>
      </c>
      <c r="D259" s="2" t="s">
        <v>5</v>
      </c>
      <c r="AK259" s="2">
        <v>97.820203</v>
      </c>
      <c r="AL259" s="2">
        <v>98.2395324707031</v>
      </c>
      <c r="AM259" s="2">
        <v>98.3233337402344</v>
      </c>
      <c r="AN259" s="2">
        <v>99.0</v>
      </c>
      <c r="AO259" s="2">
        <v>98.484130859375</v>
      </c>
      <c r="AP259" s="2">
        <v>98.7</v>
      </c>
      <c r="AQ259" s="2">
        <v>98.4</v>
      </c>
      <c r="AR259" s="2">
        <v>98.9</v>
      </c>
      <c r="AS259" s="2">
        <v>98.9</v>
      </c>
      <c r="AT259" s="2">
        <v>99.9</v>
      </c>
      <c r="AU259" s="2">
        <v>99.8</v>
      </c>
      <c r="AV259" s="2">
        <v>95.7</v>
      </c>
      <c r="AW259" s="2">
        <v>99.1</v>
      </c>
      <c r="AX259" s="2">
        <v>98.8</v>
      </c>
      <c r="AY259" s="2">
        <v>99.3</v>
      </c>
      <c r="AZ259" s="2">
        <v>98.9</v>
      </c>
      <c r="BA259" s="2">
        <v>98.9</v>
      </c>
      <c r="BB259" s="2">
        <v>99.0</v>
      </c>
      <c r="BC259" s="2">
        <v>99.1</v>
      </c>
      <c r="BD259" s="2">
        <v>98.8</v>
      </c>
      <c r="BE259" s="2">
        <v>99.3</v>
      </c>
      <c r="BF259" s="2">
        <v>99.4</v>
      </c>
      <c r="BG259" s="2">
        <v>100.0</v>
      </c>
      <c r="BH259" s="2">
        <v>100.0</v>
      </c>
      <c r="BI259" s="2">
        <v>99.4</v>
      </c>
      <c r="BJ259" s="2">
        <v>99.2</v>
      </c>
      <c r="BK259" s="2">
        <v>99.9</v>
      </c>
      <c r="BL259" s="2">
        <v>99.8</v>
      </c>
      <c r="BM259" s="2">
        <v>99.9</v>
      </c>
      <c r="BN259" s="2">
        <v>100.0</v>
      </c>
      <c r="BO259" s="2">
        <v>100.0</v>
      </c>
      <c r="BP259" s="2">
        <v>100.0</v>
      </c>
      <c r="BQ259" s="2">
        <v>100.0</v>
      </c>
      <c r="BS259" s="3" t="str">
        <f>VLOOKUP(B259, Metadata!A:B, 2, FALSE)</f>
        <v>Latin America &amp; Caribbean</v>
      </c>
    </row>
    <row r="260" hidden="1">
      <c r="A260" s="2" t="s">
        <v>533</v>
      </c>
      <c r="B260" s="2" t="s">
        <v>380</v>
      </c>
      <c r="C260" s="2" t="s">
        <v>4</v>
      </c>
      <c r="D260" s="2" t="s">
        <v>5</v>
      </c>
      <c r="AI260" s="2">
        <v>94.606559753418</v>
      </c>
      <c r="AJ260" s="2">
        <v>94.8247375488281</v>
      </c>
      <c r="AK260" s="2">
        <v>95.0428009033203</v>
      </c>
      <c r="AL260" s="2">
        <v>95.2601928710938</v>
      </c>
      <c r="AM260" s="2">
        <v>95.4762191772461</v>
      </c>
      <c r="AN260" s="2">
        <v>95.6902008056641</v>
      </c>
      <c r="AO260" s="2">
        <v>95.9014739990234</v>
      </c>
      <c r="AP260" s="2">
        <v>96.1093368530273</v>
      </c>
      <c r="AQ260" s="2">
        <v>96.3131256103516</v>
      </c>
      <c r="AR260" s="2">
        <v>96.512077331543</v>
      </c>
      <c r="AS260" s="2">
        <v>97.1</v>
      </c>
      <c r="AT260" s="2">
        <v>97.2</v>
      </c>
      <c r="AU260" s="2">
        <v>97.3</v>
      </c>
      <c r="AV260" s="2">
        <v>97.4</v>
      </c>
      <c r="AW260" s="2">
        <v>97.5</v>
      </c>
      <c r="AX260" s="2">
        <v>97.6</v>
      </c>
      <c r="AY260" s="2">
        <v>97.8</v>
      </c>
      <c r="AZ260" s="2">
        <v>97.9</v>
      </c>
      <c r="BA260" s="2">
        <v>98.1</v>
      </c>
      <c r="BB260" s="2">
        <v>98.3</v>
      </c>
      <c r="BC260" s="2">
        <v>98.3</v>
      </c>
      <c r="BD260" s="2">
        <v>98.7</v>
      </c>
      <c r="BE260" s="2">
        <v>98.9</v>
      </c>
      <c r="BF260" s="2">
        <v>99.1</v>
      </c>
      <c r="BG260" s="2">
        <v>99.2</v>
      </c>
      <c r="BH260" s="2">
        <v>100.0</v>
      </c>
      <c r="BI260" s="2">
        <v>100.0</v>
      </c>
      <c r="BJ260" s="2">
        <v>100.0</v>
      </c>
      <c r="BK260" s="2">
        <v>100.0</v>
      </c>
      <c r="BL260" s="2">
        <v>100.0</v>
      </c>
      <c r="BM260" s="2">
        <v>100.0</v>
      </c>
      <c r="BN260" s="2">
        <v>100.0</v>
      </c>
      <c r="BO260" s="2">
        <v>100.0</v>
      </c>
      <c r="BP260" s="2">
        <v>100.0</v>
      </c>
      <c r="BQ260" s="2">
        <v>100.0</v>
      </c>
      <c r="BS260" s="3" t="str">
        <f>VLOOKUP(B260, Metadata!A:B, 2, FALSE)</f>
        <v>Latin America &amp; Caribbean</v>
      </c>
    </row>
    <row r="261" hidden="1">
      <c r="A261" s="2" t="s">
        <v>534</v>
      </c>
      <c r="B261" s="2" t="s">
        <v>381</v>
      </c>
      <c r="C261" s="2" t="s">
        <v>4</v>
      </c>
      <c r="D261" s="2" t="s">
        <v>5</v>
      </c>
      <c r="AI261" s="2">
        <v>100.0</v>
      </c>
      <c r="AJ261" s="2">
        <v>100.0</v>
      </c>
      <c r="AK261" s="2">
        <v>100.0</v>
      </c>
      <c r="AL261" s="2">
        <v>100.0</v>
      </c>
      <c r="AM261" s="2">
        <v>100.0</v>
      </c>
      <c r="AN261" s="2">
        <v>100.0</v>
      </c>
      <c r="AO261" s="2">
        <v>100.0</v>
      </c>
      <c r="AP261" s="2">
        <v>100.0</v>
      </c>
      <c r="AQ261" s="2">
        <v>100.0</v>
      </c>
      <c r="AR261" s="2">
        <v>100.0</v>
      </c>
      <c r="AS261" s="2">
        <v>100.0</v>
      </c>
      <c r="AT261" s="2">
        <v>100.0</v>
      </c>
      <c r="AU261" s="2">
        <v>100.0</v>
      </c>
      <c r="AV261" s="2">
        <v>100.0</v>
      </c>
      <c r="AW261" s="2">
        <v>100.0</v>
      </c>
      <c r="AX261" s="2">
        <v>100.0</v>
      </c>
      <c r="AY261" s="2">
        <v>100.0</v>
      </c>
      <c r="AZ261" s="2">
        <v>100.0</v>
      </c>
      <c r="BA261" s="2">
        <v>100.0</v>
      </c>
      <c r="BB261" s="2">
        <v>100.0</v>
      </c>
      <c r="BC261" s="2">
        <v>100.0</v>
      </c>
      <c r="BD261" s="2">
        <v>100.0</v>
      </c>
      <c r="BE261" s="2">
        <v>100.0</v>
      </c>
      <c r="BF261" s="2">
        <v>100.0</v>
      </c>
      <c r="BG261" s="2">
        <v>100.0</v>
      </c>
      <c r="BH261" s="2">
        <v>100.0</v>
      </c>
      <c r="BI261" s="2">
        <v>100.0</v>
      </c>
      <c r="BJ261" s="2">
        <v>100.0</v>
      </c>
      <c r="BK261" s="2">
        <v>100.0</v>
      </c>
      <c r="BL261" s="2">
        <v>100.0</v>
      </c>
      <c r="BM261" s="2">
        <v>100.0</v>
      </c>
      <c r="BN261" s="2">
        <v>100.0</v>
      </c>
      <c r="BO261" s="2">
        <v>100.0</v>
      </c>
      <c r="BP261" s="2">
        <v>100.0</v>
      </c>
      <c r="BQ261" s="2">
        <v>100.0</v>
      </c>
      <c r="BS261" s="3" t="str">
        <f>VLOOKUP(B261, Metadata!A:B, 2, FALSE)</f>
        <v>Latin America &amp; Caribbean</v>
      </c>
    </row>
    <row r="262" hidden="1">
      <c r="A262" s="2" t="s">
        <v>535</v>
      </c>
      <c r="B262" s="2" t="s">
        <v>382</v>
      </c>
      <c r="C262" s="2" t="s">
        <v>4</v>
      </c>
      <c r="D262" s="2" t="s">
        <v>5</v>
      </c>
      <c r="AP262" s="2">
        <v>78.4</v>
      </c>
      <c r="AQ262" s="2">
        <v>86.1759872436523</v>
      </c>
      <c r="AR262" s="2">
        <v>86.9944381713867</v>
      </c>
      <c r="AS262" s="2">
        <v>88.2</v>
      </c>
      <c r="AT262" s="2">
        <v>88.9</v>
      </c>
      <c r="AU262" s="2">
        <v>89.1</v>
      </c>
      <c r="AV262" s="2">
        <v>90.3</v>
      </c>
      <c r="AW262" s="2">
        <v>91.0</v>
      </c>
      <c r="AX262" s="2">
        <v>96.1</v>
      </c>
      <c r="AY262" s="2">
        <v>96.0</v>
      </c>
      <c r="AZ262" s="2">
        <v>93.1</v>
      </c>
      <c r="BA262" s="2">
        <v>93.8</v>
      </c>
      <c r="BB262" s="2">
        <v>96.1</v>
      </c>
      <c r="BC262" s="2">
        <v>97.4</v>
      </c>
      <c r="BD262" s="2">
        <v>99.0</v>
      </c>
      <c r="BE262" s="2">
        <v>97.9</v>
      </c>
      <c r="BF262" s="2">
        <v>98.5</v>
      </c>
      <c r="BG262" s="2">
        <v>99.2</v>
      </c>
      <c r="BH262" s="2">
        <v>99.3</v>
      </c>
      <c r="BI262" s="2">
        <v>99.2</v>
      </c>
      <c r="BJ262" s="2">
        <v>100.0</v>
      </c>
      <c r="BK262" s="2">
        <v>100.0</v>
      </c>
      <c r="BL262" s="2">
        <v>99.4</v>
      </c>
      <c r="BM262" s="2">
        <v>99.8</v>
      </c>
      <c r="BN262" s="2">
        <v>100.0</v>
      </c>
      <c r="BO262" s="2">
        <v>100.0</v>
      </c>
      <c r="BP262" s="2">
        <v>99.8</v>
      </c>
      <c r="BQ262" s="2">
        <v>100.0</v>
      </c>
      <c r="BS262" s="3" t="str">
        <f>VLOOKUP(B262, Metadata!A:B, 2, FALSE)</f>
        <v>East Asia &amp; Pacific</v>
      </c>
    </row>
    <row r="263" hidden="1">
      <c r="A263" s="2" t="s">
        <v>536</v>
      </c>
      <c r="B263" s="2" t="s">
        <v>383</v>
      </c>
      <c r="C263" s="2" t="s">
        <v>4</v>
      </c>
      <c r="D263" s="2" t="s">
        <v>5</v>
      </c>
      <c r="AM263" s="2">
        <v>18.0</v>
      </c>
      <c r="AN263" s="2">
        <v>12.9416437149048</v>
      </c>
      <c r="AO263" s="2">
        <v>14.7923612594604</v>
      </c>
      <c r="AP263" s="2">
        <v>16.6396789550781</v>
      </c>
      <c r="AQ263" s="2">
        <v>18.4829177856445</v>
      </c>
      <c r="AR263" s="2">
        <v>19.1</v>
      </c>
      <c r="AS263" s="2">
        <v>22.2</v>
      </c>
      <c r="AT263" s="2">
        <v>24.0</v>
      </c>
      <c r="AU263" s="2">
        <v>25.7</v>
      </c>
      <c r="AV263" s="2">
        <v>27.5</v>
      </c>
      <c r="AW263" s="2">
        <v>29.2</v>
      </c>
      <c r="AX263" s="2">
        <v>31.0</v>
      </c>
      <c r="AY263" s="2">
        <v>26.4</v>
      </c>
      <c r="AZ263" s="2">
        <v>33.6</v>
      </c>
      <c r="BA263" s="2">
        <v>36.5</v>
      </c>
      <c r="BB263" s="2">
        <v>33.3</v>
      </c>
      <c r="BC263" s="2">
        <v>44.1</v>
      </c>
      <c r="BD263" s="2">
        <v>42.0</v>
      </c>
      <c r="BE263" s="2">
        <v>43.9</v>
      </c>
      <c r="BF263" s="2">
        <v>31.7</v>
      </c>
      <c r="BG263" s="2">
        <v>49.1</v>
      </c>
      <c r="BH263" s="2">
        <v>52.3</v>
      </c>
      <c r="BI263" s="2">
        <v>57.8</v>
      </c>
      <c r="BJ263" s="2">
        <v>62.8</v>
      </c>
      <c r="BK263" s="2">
        <v>61.6</v>
      </c>
      <c r="BL263" s="2">
        <v>64.5</v>
      </c>
      <c r="BM263" s="2">
        <v>67.3</v>
      </c>
      <c r="BN263" s="2">
        <v>70.0</v>
      </c>
      <c r="BO263" s="2">
        <v>70.0</v>
      </c>
      <c r="BP263" s="2">
        <v>61.6</v>
      </c>
      <c r="BQ263" s="2">
        <v>65.5</v>
      </c>
      <c r="BS263" s="3" t="str">
        <f>VLOOKUP(B263, Metadata!A:B, 2, FALSE)</f>
        <v>East Asia &amp; Pacific</v>
      </c>
    </row>
    <row r="264" hidden="1">
      <c r="A264" s="2" t="s">
        <v>537</v>
      </c>
      <c r="B264" s="2" t="s">
        <v>384</v>
      </c>
      <c r="C264" s="2" t="s">
        <v>4</v>
      </c>
      <c r="D264" s="2" t="s">
        <v>5</v>
      </c>
      <c r="AQ264" s="2">
        <v>73.2005808465702</v>
      </c>
      <c r="AR264" s="2">
        <v>74.5078582821173</v>
      </c>
      <c r="AS264" s="2">
        <v>78.224965031972</v>
      </c>
      <c r="AT264" s="2">
        <v>78.718809926323</v>
      </c>
      <c r="AU264" s="2">
        <v>79.1043589102051</v>
      </c>
      <c r="AV264" s="2">
        <v>79.9684714685475</v>
      </c>
      <c r="AW264" s="2">
        <v>79.9557071016267</v>
      </c>
      <c r="AX264" s="2">
        <v>80.7045758983383</v>
      </c>
      <c r="AY264" s="2">
        <v>81.3567271905369</v>
      </c>
      <c r="AZ264" s="2">
        <v>81.9745726621334</v>
      </c>
      <c r="BA264" s="2">
        <v>82.6714183692273</v>
      </c>
      <c r="BB264" s="2">
        <v>82.8688257633761</v>
      </c>
      <c r="BC264" s="2">
        <v>83.4501564252405</v>
      </c>
      <c r="BD264" s="2">
        <v>84.5088722141776</v>
      </c>
      <c r="BE264" s="2">
        <v>84.9391555731035</v>
      </c>
      <c r="BF264" s="2">
        <v>85.7136907083818</v>
      </c>
      <c r="BG264" s="2">
        <v>86.198537437738</v>
      </c>
      <c r="BH264" s="2">
        <v>86.9273667608945</v>
      </c>
      <c r="BI264" s="2">
        <v>88.1080967238499</v>
      </c>
      <c r="BJ264" s="2">
        <v>88.9357124003312</v>
      </c>
      <c r="BK264" s="2">
        <v>89.8011777019155</v>
      </c>
      <c r="BL264" s="2">
        <v>90.1089635853778</v>
      </c>
      <c r="BM264" s="2">
        <v>90.3995467820191</v>
      </c>
      <c r="BN264" s="2">
        <v>91.3385144099012</v>
      </c>
      <c r="BO264" s="2">
        <v>91.2817736699915</v>
      </c>
      <c r="BP264" s="2">
        <v>91.6034762480239</v>
      </c>
      <c r="BQ264" s="2">
        <v>91.9264843853681</v>
      </c>
      <c r="BS264" s="3" t="str">
        <f>VLOOKUP(B264, Metadata!A:B, 2, FALSE)</f>
        <v/>
      </c>
    </row>
    <row r="265" hidden="1">
      <c r="A265" s="2" t="s">
        <v>538</v>
      </c>
      <c r="B265" s="2" t="s">
        <v>386</v>
      </c>
      <c r="C265" s="2" t="s">
        <v>4</v>
      </c>
      <c r="D265" s="2" t="s">
        <v>5</v>
      </c>
      <c r="AJ265" s="2">
        <v>78.8</v>
      </c>
      <c r="AK265" s="2">
        <v>81.6401672363281</v>
      </c>
      <c r="AL265" s="2">
        <v>82.4245910644531</v>
      </c>
      <c r="AM265" s="2">
        <v>80.0</v>
      </c>
      <c r="AN265" s="2">
        <v>83.9886932373047</v>
      </c>
      <c r="AO265" s="2">
        <v>84.7669982910156</v>
      </c>
      <c r="AP265" s="2">
        <v>85.5419082641602</v>
      </c>
      <c r="AQ265" s="2">
        <v>86.312744140625</v>
      </c>
      <c r="AR265" s="2">
        <v>87.078727722168</v>
      </c>
      <c r="AS265" s="2">
        <v>88.0</v>
      </c>
      <c r="AT265" s="2">
        <v>88.7</v>
      </c>
      <c r="AU265" s="2">
        <v>89.3</v>
      </c>
      <c r="AV265" s="2">
        <v>89.9</v>
      </c>
      <c r="AW265" s="2">
        <v>90.5</v>
      </c>
      <c r="AX265" s="2">
        <v>91.1</v>
      </c>
      <c r="AY265" s="2">
        <v>96.4</v>
      </c>
      <c r="AZ265" s="2">
        <v>92.5</v>
      </c>
      <c r="BA265" s="2">
        <v>98.1</v>
      </c>
      <c r="BB265" s="2">
        <v>97.9</v>
      </c>
      <c r="BC265" s="2">
        <v>96.4</v>
      </c>
      <c r="BD265" s="2">
        <v>96.7</v>
      </c>
      <c r="BE265" s="2">
        <v>96.8</v>
      </c>
      <c r="BF265" s="2">
        <v>97.0</v>
      </c>
      <c r="BG265" s="2">
        <v>97.9</v>
      </c>
      <c r="BH265" s="2">
        <v>98.2</v>
      </c>
      <c r="BI265" s="2">
        <v>98.9</v>
      </c>
      <c r="BJ265" s="2">
        <v>96.8</v>
      </c>
      <c r="BK265" s="2">
        <v>99.8</v>
      </c>
      <c r="BL265" s="2">
        <v>99.2</v>
      </c>
      <c r="BM265" s="2">
        <v>100.0</v>
      </c>
      <c r="BN265" s="2">
        <v>98.3</v>
      </c>
      <c r="BO265" s="2">
        <v>98.3</v>
      </c>
      <c r="BP265" s="2">
        <v>100.0</v>
      </c>
      <c r="BQ265" s="2">
        <v>100.0</v>
      </c>
      <c r="BS265" s="3" t="str">
        <f>VLOOKUP(B265, Metadata!A:B, 2, FALSE)</f>
        <v>East Asia &amp; Pacific</v>
      </c>
    </row>
    <row r="266" hidden="1">
      <c r="A266" s="2" t="s">
        <v>539</v>
      </c>
      <c r="B266" s="2" t="s">
        <v>387</v>
      </c>
      <c r="C266" s="2" t="s">
        <v>4</v>
      </c>
      <c r="D266" s="2" t="s">
        <v>5</v>
      </c>
      <c r="AI266" s="2">
        <v>100.0</v>
      </c>
      <c r="AJ266" s="2">
        <v>100.0</v>
      </c>
      <c r="AK266" s="2">
        <v>100.0</v>
      </c>
      <c r="AL266" s="2">
        <v>100.0</v>
      </c>
      <c r="AM266" s="2">
        <v>100.0</v>
      </c>
      <c r="AN266" s="2">
        <v>100.0</v>
      </c>
      <c r="AO266" s="2">
        <v>100.0</v>
      </c>
      <c r="AP266" s="2">
        <v>100.0</v>
      </c>
      <c r="AQ266" s="2">
        <v>100.0</v>
      </c>
      <c r="AR266" s="2">
        <v>100.0</v>
      </c>
      <c r="BS266" s="3" t="str">
        <f>VLOOKUP(B266, Metadata!A:B, 2, FALSE)</f>
        <v>Europe &amp; Central Asia</v>
      </c>
    </row>
    <row r="267" hidden="1">
      <c r="A267" s="2" t="s">
        <v>540</v>
      </c>
      <c r="B267" s="2" t="s">
        <v>388</v>
      </c>
      <c r="C267" s="2" t="s">
        <v>4</v>
      </c>
      <c r="D267" s="2" t="s">
        <v>5</v>
      </c>
      <c r="AK267" s="2">
        <v>44.1</v>
      </c>
      <c r="AL267" s="2">
        <v>40.774715423584</v>
      </c>
      <c r="AM267" s="2">
        <v>41.9851341247559</v>
      </c>
      <c r="AN267" s="2">
        <v>43.1935119628906</v>
      </c>
      <c r="AO267" s="2">
        <v>44.399169921875</v>
      </c>
      <c r="AP267" s="2">
        <v>42.6</v>
      </c>
      <c r="AQ267" s="2">
        <v>46.7996101379395</v>
      </c>
      <c r="AR267" s="2">
        <v>47.9929466247559</v>
      </c>
      <c r="AS267" s="2">
        <v>49.2</v>
      </c>
      <c r="AT267" s="2">
        <v>50.4</v>
      </c>
      <c r="AU267" s="2">
        <v>51.5</v>
      </c>
      <c r="AV267" s="2">
        <v>52.6</v>
      </c>
      <c r="AW267" s="2">
        <v>49.6</v>
      </c>
      <c r="AX267" s="2">
        <v>54.8</v>
      </c>
      <c r="AY267" s="2">
        <v>55.8</v>
      </c>
      <c r="AZ267" s="2">
        <v>57.2</v>
      </c>
      <c r="BA267" s="2">
        <v>58.4</v>
      </c>
      <c r="BB267" s="2">
        <v>59.6</v>
      </c>
      <c r="BC267" s="2">
        <v>60.8</v>
      </c>
      <c r="BD267" s="2">
        <v>62.0</v>
      </c>
      <c r="BE267" s="2">
        <v>52.4</v>
      </c>
      <c r="BF267" s="2">
        <v>75.6</v>
      </c>
      <c r="BG267" s="2">
        <v>66.1</v>
      </c>
      <c r="BH267" s="2">
        <v>67.4</v>
      </c>
      <c r="BI267" s="2">
        <v>68.9</v>
      </c>
      <c r="BJ267" s="2">
        <v>79.2</v>
      </c>
      <c r="BK267" s="2">
        <v>62.0</v>
      </c>
      <c r="BL267" s="2">
        <v>72.8</v>
      </c>
      <c r="BM267" s="2">
        <v>73.9</v>
      </c>
      <c r="BN267" s="2">
        <v>74.9</v>
      </c>
      <c r="BO267" s="2">
        <v>76.0</v>
      </c>
      <c r="BP267" s="2">
        <v>83.6</v>
      </c>
      <c r="BQ267" s="2">
        <v>86.3</v>
      </c>
      <c r="BS267" s="3" t="str">
        <f>VLOOKUP(B267, Metadata!A:B, 2, FALSE)</f>
        <v>Middle East &amp; North Africa</v>
      </c>
    </row>
    <row r="268">
      <c r="A268" s="2" t="s">
        <v>541</v>
      </c>
      <c r="B268" s="2" t="s">
        <v>389</v>
      </c>
      <c r="C268" s="2" t="s">
        <v>4</v>
      </c>
      <c r="D268" s="2" t="s">
        <v>5</v>
      </c>
      <c r="AO268" s="2">
        <v>57.6</v>
      </c>
      <c r="AP268" s="2">
        <v>69.4833526611328</v>
      </c>
      <c r="AQ268" s="2">
        <v>64.9</v>
      </c>
      <c r="AR268" s="2">
        <v>71.331787109375</v>
      </c>
      <c r="AS268" s="2">
        <v>72.4</v>
      </c>
      <c r="AT268" s="2">
        <v>70.2</v>
      </c>
      <c r="AU268" s="2">
        <v>76.7</v>
      </c>
      <c r="AV268" s="2">
        <v>78.8</v>
      </c>
      <c r="AW268" s="2">
        <v>80.6</v>
      </c>
      <c r="AX268" s="2">
        <v>80.8</v>
      </c>
      <c r="AY268" s="2">
        <v>80.7</v>
      </c>
      <c r="AZ268" s="2">
        <v>82.0</v>
      </c>
      <c r="BA268" s="2">
        <v>81.9</v>
      </c>
      <c r="BB268" s="2">
        <v>82.6</v>
      </c>
      <c r="BC268" s="2">
        <v>82.8</v>
      </c>
      <c r="BD268" s="2">
        <v>83.6</v>
      </c>
      <c r="BE268" s="2">
        <v>85.2</v>
      </c>
      <c r="BF268" s="2">
        <v>85.2</v>
      </c>
      <c r="BG268" s="2">
        <v>85.9</v>
      </c>
      <c r="BH268" s="2">
        <v>85.3</v>
      </c>
      <c r="BI268" s="2">
        <v>83.9</v>
      </c>
      <c r="BJ268" s="2">
        <v>84.4</v>
      </c>
      <c r="BK268" s="2">
        <v>84.7</v>
      </c>
      <c r="BL268" s="2">
        <v>85.0</v>
      </c>
      <c r="BM268" s="2">
        <v>90.0</v>
      </c>
      <c r="BN268" s="2">
        <v>89.3</v>
      </c>
      <c r="BO268" s="2">
        <v>86.5</v>
      </c>
      <c r="BP268" s="2">
        <v>87.7</v>
      </c>
      <c r="BQ268" s="2">
        <v>90.2</v>
      </c>
      <c r="BS268" s="3" t="str">
        <f>VLOOKUP(B268, Metadata!A:B, 2, FALSE)</f>
        <v>Sub-Saharan Africa</v>
      </c>
      <c r="BT268" s="3">
        <f>VLOOKUP(B264,Population!A:B,2,FALSE)*(1-BP264/100)</f>
        <v>677005279.8</v>
      </c>
    </row>
    <row r="269">
      <c r="A269" s="2" t="s">
        <v>542</v>
      </c>
      <c r="B269" s="2" t="s">
        <v>390</v>
      </c>
      <c r="C269" s="2" t="s">
        <v>4</v>
      </c>
      <c r="D269" s="2" t="s">
        <v>5</v>
      </c>
      <c r="AI269" s="2">
        <v>13.9</v>
      </c>
      <c r="AJ269" s="2">
        <v>12.7527027130127</v>
      </c>
      <c r="AK269" s="2">
        <v>19.2</v>
      </c>
      <c r="AL269" s="2">
        <v>14.213207244873</v>
      </c>
      <c r="AM269" s="2">
        <v>14.9417591094971</v>
      </c>
      <c r="AN269" s="2">
        <v>15.6682720184326</v>
      </c>
      <c r="AO269" s="2">
        <v>17.3</v>
      </c>
      <c r="AP269" s="2">
        <v>17.1124591827393</v>
      </c>
      <c r="AQ269" s="2">
        <v>19.0</v>
      </c>
      <c r="AR269" s="2">
        <v>18.5402450561523</v>
      </c>
      <c r="AS269" s="2">
        <v>16.7</v>
      </c>
      <c r="AT269" s="2">
        <v>20.2</v>
      </c>
      <c r="AU269" s="2">
        <v>17.4</v>
      </c>
      <c r="AV269" s="2">
        <v>18.5</v>
      </c>
      <c r="AW269" s="2">
        <v>20.3</v>
      </c>
      <c r="AX269" s="2">
        <v>23.3</v>
      </c>
      <c r="AY269" s="2">
        <v>24.1</v>
      </c>
      <c r="AZ269" s="2">
        <v>18.5</v>
      </c>
      <c r="BA269" s="2">
        <v>25.7</v>
      </c>
      <c r="BB269" s="2">
        <v>26.6</v>
      </c>
      <c r="BC269" s="2">
        <v>22.0</v>
      </c>
      <c r="BD269" s="2">
        <v>28.3</v>
      </c>
      <c r="BE269" s="2">
        <v>29.2</v>
      </c>
      <c r="BF269" s="2">
        <v>30.1</v>
      </c>
      <c r="BG269" s="2">
        <v>27.9</v>
      </c>
      <c r="BH269" s="2">
        <v>31.1</v>
      </c>
      <c r="BI269" s="2">
        <v>35.4</v>
      </c>
      <c r="BJ269" s="2">
        <v>40.3</v>
      </c>
      <c r="BK269" s="2">
        <v>40.2</v>
      </c>
      <c r="BL269" s="2">
        <v>43.0</v>
      </c>
      <c r="BM269" s="2">
        <v>44.6</v>
      </c>
      <c r="BN269" s="2">
        <v>46.7</v>
      </c>
      <c r="BO269" s="2">
        <v>47.8</v>
      </c>
      <c r="BP269" s="2">
        <v>51.1</v>
      </c>
      <c r="BQ269" s="2">
        <v>53.6</v>
      </c>
      <c r="BS269" s="3" t="str">
        <f>VLOOKUP(B269, Metadata!A:B, 2, FALSE)</f>
        <v>Sub-Saharan Africa</v>
      </c>
      <c r="BT269" s="3">
        <f>VLOOKUP(B265,Population!A:B,2,FALSE)*(1-BP265/100)</f>
        <v>0</v>
      </c>
    </row>
    <row r="270">
      <c r="A270" s="2" t="s">
        <v>543</v>
      </c>
      <c r="B270" s="2" t="s">
        <v>391</v>
      </c>
      <c r="C270" s="2" t="s">
        <v>4</v>
      </c>
      <c r="D270" s="2" t="s">
        <v>5</v>
      </c>
      <c r="AK270" s="2">
        <v>28.2</v>
      </c>
      <c r="AL270" s="2">
        <v>31.163667678833</v>
      </c>
      <c r="AM270" s="2">
        <v>28.1</v>
      </c>
      <c r="AN270" s="2">
        <v>31.948579788208</v>
      </c>
      <c r="AO270" s="2">
        <v>32.3372955322266</v>
      </c>
      <c r="AP270" s="2">
        <v>32.7226104736328</v>
      </c>
      <c r="AQ270" s="2">
        <v>33.1038475036621</v>
      </c>
      <c r="AR270" s="2">
        <v>38.4</v>
      </c>
      <c r="AS270" s="2">
        <v>33.7</v>
      </c>
      <c r="AT270" s="2">
        <v>34.2</v>
      </c>
      <c r="AU270" s="2">
        <v>34.2</v>
      </c>
      <c r="AV270" s="2">
        <v>35.1</v>
      </c>
      <c r="AW270" s="2">
        <v>35.6</v>
      </c>
      <c r="AX270" s="2">
        <v>36.1</v>
      </c>
      <c r="AY270" s="2">
        <v>37.2</v>
      </c>
      <c r="AZ270" s="2">
        <v>37.2</v>
      </c>
      <c r="BA270" s="2">
        <v>37.7</v>
      </c>
      <c r="BB270" s="2">
        <v>43.4</v>
      </c>
      <c r="BC270" s="2">
        <v>38.9</v>
      </c>
      <c r="BD270" s="2">
        <v>36.9</v>
      </c>
      <c r="BE270" s="2">
        <v>44.0</v>
      </c>
      <c r="BF270" s="2">
        <v>40.6</v>
      </c>
      <c r="BG270" s="2">
        <v>32.3</v>
      </c>
      <c r="BH270" s="2">
        <v>33.7</v>
      </c>
      <c r="BI270" s="2">
        <v>42.5</v>
      </c>
      <c r="BJ270" s="2">
        <v>44.0</v>
      </c>
      <c r="BK270" s="2">
        <v>45.4</v>
      </c>
      <c r="BL270" s="2">
        <v>46.7</v>
      </c>
      <c r="BM270" s="2">
        <v>52.7</v>
      </c>
      <c r="BN270" s="2">
        <v>49.0</v>
      </c>
      <c r="BO270" s="2">
        <v>50.1</v>
      </c>
      <c r="BP270" s="2">
        <v>62.0</v>
      </c>
      <c r="BQ270" s="2">
        <v>62.0</v>
      </c>
      <c r="BS270" s="3" t="str">
        <f>VLOOKUP(B270, Metadata!A:B, 2, FALSE)</f>
        <v>Sub-Saharan Africa</v>
      </c>
      <c r="BT270" s="3">
        <f>VLOOKUP(B266,Population!A:B,2,FALSE)*(1-BP266/100)</f>
        <v>1682668</v>
      </c>
    </row>
  </sheetData>
  <autoFilter ref="$BS$5:$BS$270">
    <filterColumn colId="0">
      <filters>
        <filter val="Sub-Saharan Africa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3.25"/>
    <col customWidth="1" min="3" max="3" width="31.63"/>
    <col customWidth="1" min="4" max="4" width="20.88"/>
    <col customWidth="1" min="6" max="6" width="15.5"/>
    <col customWidth="1" min="7" max="7" width="17.25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>
        <v>39.4</v>
      </c>
      <c r="F1" s="3" t="s">
        <v>6</v>
      </c>
      <c r="G1" s="3">
        <f>VLOOKUP(B1,Population!A:B,2,FALSE)*(1-BP1/100)</f>
        <v>31195932</v>
      </c>
      <c r="H1" s="3">
        <f t="shared" ref="H1:H83" si="1">RANK(E2,E$2:E$49,1)</f>
        <v>4</v>
      </c>
      <c r="I1" s="3">
        <f t="shared" ref="I1:I83" si="2">RANK(G2,G$2:G$49,0)</f>
        <v>20</v>
      </c>
      <c r="J1" s="3" t="str">
        <f t="shared" ref="J1:J83" si="3">IFS(I2&lt;=5,"High", I2&lt;=15,"Moderate", TRUE,"Low")</f>
        <v>Low</v>
      </c>
    </row>
    <row r="2">
      <c r="A2" s="1" t="s">
        <v>16</v>
      </c>
      <c r="B2" s="1" t="s">
        <v>17</v>
      </c>
      <c r="C2" s="1" t="s">
        <v>4</v>
      </c>
      <c r="D2" s="1" t="s">
        <v>5</v>
      </c>
      <c r="E2" s="1">
        <v>12.0</v>
      </c>
      <c r="F2" s="3" t="s">
        <v>6</v>
      </c>
      <c r="G2" s="3">
        <f>VLOOKUP(B2,Population!A:B,2,FALSE)*(1-BP2/100)</f>
        <v>19319064</v>
      </c>
      <c r="H2" s="3">
        <f t="shared" si="1"/>
        <v>21</v>
      </c>
      <c r="I2" s="3">
        <f t="shared" si="2"/>
        <v>32</v>
      </c>
      <c r="J2" s="3" t="str">
        <f t="shared" si="3"/>
        <v>Low</v>
      </c>
    </row>
    <row r="3">
      <c r="A3" s="1" t="s">
        <v>20</v>
      </c>
      <c r="B3" s="1" t="s">
        <v>21</v>
      </c>
      <c r="C3" s="1" t="s">
        <v>4</v>
      </c>
      <c r="D3" s="1" t="s">
        <v>5</v>
      </c>
      <c r="E3" s="1">
        <v>54.4</v>
      </c>
      <c r="F3" s="3" t="s">
        <v>6</v>
      </c>
      <c r="G3" s="3">
        <f>VLOOKUP(B3,Population!A:B,2,FALSE)*(1-BP3/100)</f>
        <v>3470390</v>
      </c>
      <c r="H3" s="3">
        <f t="shared" si="1"/>
        <v>23</v>
      </c>
      <c r="I3" s="3">
        <f t="shared" si="2"/>
        <v>16</v>
      </c>
      <c r="J3" s="3" t="str">
        <f t="shared" si="3"/>
        <v>Low</v>
      </c>
    </row>
    <row r="4">
      <c r="A4" s="1" t="s">
        <v>24</v>
      </c>
      <c r="B4" s="1" t="s">
        <v>25</v>
      </c>
      <c r="C4" s="1" t="s">
        <v>4</v>
      </c>
      <c r="D4" s="1" t="s">
        <v>5</v>
      </c>
      <c r="E4" s="1">
        <v>54.5</v>
      </c>
      <c r="F4" s="3" t="s">
        <v>6</v>
      </c>
      <c r="G4" s="3">
        <f>VLOOKUP(B4,Population!A:B,2,FALSE)*(1-BP4/100)</f>
        <v>23769127</v>
      </c>
      <c r="H4" s="3">
        <f t="shared" si="1"/>
        <v>1</v>
      </c>
      <c r="I4" s="3">
        <f t="shared" si="2"/>
        <v>27</v>
      </c>
      <c r="J4" s="3" t="str">
        <f t="shared" si="3"/>
        <v>Low</v>
      </c>
    </row>
    <row r="5">
      <c r="A5" s="1" t="s">
        <v>28</v>
      </c>
      <c r="B5" s="1" t="s">
        <v>29</v>
      </c>
      <c r="C5" s="1" t="s">
        <v>4</v>
      </c>
      <c r="D5" s="1" t="s">
        <v>5</v>
      </c>
      <c r="E5" s="1">
        <v>5.4</v>
      </c>
      <c r="F5" s="3" t="s">
        <v>6</v>
      </c>
      <c r="G5" s="3">
        <f>VLOOKUP(B5,Population!A:B,2,FALSE)*(1-BP5/100)</f>
        <v>11483374</v>
      </c>
      <c r="H5" s="3">
        <f t="shared" si="1"/>
        <v>46</v>
      </c>
      <c r="I5" s="3">
        <f t="shared" si="2"/>
        <v>41</v>
      </c>
      <c r="J5" s="3" t="str">
        <f t="shared" si="3"/>
        <v>Moderate</v>
      </c>
    </row>
    <row r="6">
      <c r="A6" s="1" t="s">
        <v>30</v>
      </c>
      <c r="B6" s="1" t="s">
        <v>31</v>
      </c>
      <c r="C6" s="1" t="s">
        <v>4</v>
      </c>
      <c r="D6" s="1" t="s">
        <v>5</v>
      </c>
      <c r="E6" s="1">
        <v>100.0</v>
      </c>
      <c r="F6" s="3" t="s">
        <v>6</v>
      </c>
      <c r="G6" s="3">
        <f>VLOOKUP(B6,Population!A:B,2,FALSE)*(1-BP6/100)</f>
        <v>1248647</v>
      </c>
      <c r="H6" s="3">
        <f t="shared" si="1"/>
        <v>38</v>
      </c>
      <c r="I6" s="3">
        <f t="shared" si="2"/>
        <v>6</v>
      </c>
      <c r="J6" s="3" t="str">
        <f t="shared" si="3"/>
        <v>High</v>
      </c>
    </row>
    <row r="7">
      <c r="A7" s="1" t="s">
        <v>34</v>
      </c>
      <c r="B7" s="1" t="s">
        <v>35</v>
      </c>
      <c r="C7" s="1" t="s">
        <v>4</v>
      </c>
      <c r="D7" s="1" t="s">
        <v>5</v>
      </c>
      <c r="E7" s="1">
        <v>76.2</v>
      </c>
      <c r="F7" s="3" t="s">
        <v>6</v>
      </c>
      <c r="G7" s="3">
        <f>VLOOKUP(B7,Population!A:B,2,FALSE)*(1-BP7/100)</f>
        <v>55339003</v>
      </c>
      <c r="H7" s="3">
        <f t="shared" si="1"/>
        <v>16</v>
      </c>
      <c r="I7" s="3">
        <f t="shared" si="2"/>
        <v>5</v>
      </c>
      <c r="J7" s="3" t="str">
        <f t="shared" si="3"/>
        <v>Low</v>
      </c>
    </row>
    <row r="8">
      <c r="A8" s="1" t="s">
        <v>38</v>
      </c>
      <c r="B8" s="1" t="s">
        <v>39</v>
      </c>
      <c r="C8" s="1" t="s">
        <v>4</v>
      </c>
      <c r="D8" s="1" t="s">
        <v>5</v>
      </c>
      <c r="E8" s="1">
        <v>48.3</v>
      </c>
      <c r="F8" s="3" t="s">
        <v>6</v>
      </c>
      <c r="G8" s="3">
        <f>VLOOKUP(B8,Population!A:B,2,FALSE)*(1-BP8/100)</f>
        <v>66617606</v>
      </c>
      <c r="H8" s="3">
        <f t="shared" si="1"/>
        <v>5</v>
      </c>
      <c r="I8" s="3">
        <f t="shared" si="2"/>
        <v>19</v>
      </c>
      <c r="J8" s="3" t="str">
        <f t="shared" si="3"/>
        <v>Low</v>
      </c>
    </row>
    <row r="9">
      <c r="A9" s="3" t="s">
        <v>42</v>
      </c>
      <c r="B9" s="3" t="s">
        <v>43</v>
      </c>
      <c r="C9" s="3" t="s">
        <v>4</v>
      </c>
      <c r="D9" s="3" t="s">
        <v>5</v>
      </c>
      <c r="E9" s="3">
        <v>15.6</v>
      </c>
      <c r="F9" s="3" t="s">
        <v>6</v>
      </c>
      <c r="G9" s="3">
        <f>VLOOKUP(B9,Population!A:B,2,FALSE)*(1-BP9/100)</f>
        <v>21104482</v>
      </c>
      <c r="H9" s="3">
        <f t="shared" si="1"/>
        <v>44</v>
      </c>
      <c r="I9" s="3">
        <f t="shared" si="2"/>
        <v>37</v>
      </c>
      <c r="J9" s="3" t="str">
        <f t="shared" si="3"/>
        <v>Low</v>
      </c>
    </row>
    <row r="10">
      <c r="A10" s="3" t="s">
        <v>46</v>
      </c>
      <c r="B10" s="3" t="s">
        <v>47</v>
      </c>
      <c r="C10" s="3" t="s">
        <v>4</v>
      </c>
      <c r="D10" s="3" t="s">
        <v>5</v>
      </c>
      <c r="E10" s="3">
        <v>94.1</v>
      </c>
      <c r="F10" s="3" t="s">
        <v>6</v>
      </c>
      <c r="G10" s="3">
        <f>VLOOKUP(B10,Population!A:B,2,FALSE)*(1-BP10/100)</f>
        <v>2484789</v>
      </c>
      <c r="H10" s="3">
        <f t="shared" si="1"/>
        <v>21</v>
      </c>
      <c r="I10" s="3">
        <f t="shared" si="2"/>
        <v>32</v>
      </c>
      <c r="J10" s="3" t="str">
        <f t="shared" si="3"/>
        <v>Low</v>
      </c>
    </row>
    <row r="11">
      <c r="A11" s="1" t="s">
        <v>20</v>
      </c>
      <c r="B11" s="1" t="s">
        <v>21</v>
      </c>
      <c r="C11" s="1" t="s">
        <v>4</v>
      </c>
      <c r="D11" s="1" t="s">
        <v>5</v>
      </c>
      <c r="E11" s="1">
        <v>54.4</v>
      </c>
      <c r="F11" s="3" t="s">
        <v>6</v>
      </c>
      <c r="G11" s="3">
        <f>VLOOKUP(B11,Population!A:B,2,FALSE)*(1-BP11/100)</f>
        <v>3470390</v>
      </c>
      <c r="H11" s="3">
        <f t="shared" si="1"/>
        <v>23</v>
      </c>
      <c r="I11" s="3">
        <f t="shared" si="2"/>
        <v>16</v>
      </c>
      <c r="J11" s="3" t="str">
        <f t="shared" si="3"/>
        <v>Low</v>
      </c>
    </row>
    <row r="12">
      <c r="A12" s="1" t="s">
        <v>24</v>
      </c>
      <c r="B12" s="1" t="s">
        <v>25</v>
      </c>
      <c r="C12" s="1" t="s">
        <v>4</v>
      </c>
      <c r="D12" s="1" t="s">
        <v>5</v>
      </c>
      <c r="E12" s="1">
        <v>54.5</v>
      </c>
      <c r="F12" s="3" t="s">
        <v>6</v>
      </c>
      <c r="G12" s="3">
        <f>VLOOKUP(B12,Population!A:B,2,FALSE)*(1-BP12/100)</f>
        <v>23769127</v>
      </c>
      <c r="H12" s="3">
        <f t="shared" si="1"/>
        <v>1</v>
      </c>
      <c r="I12" s="3">
        <f t="shared" si="2"/>
        <v>27</v>
      </c>
      <c r="J12" s="3" t="str">
        <f t="shared" si="3"/>
        <v>Moderate</v>
      </c>
    </row>
    <row r="13">
      <c r="A13" s="1" t="s">
        <v>28</v>
      </c>
      <c r="B13" s="1" t="s">
        <v>29</v>
      </c>
      <c r="C13" s="1" t="s">
        <v>4</v>
      </c>
      <c r="D13" s="1" t="s">
        <v>5</v>
      </c>
      <c r="E13" s="1">
        <v>5.4</v>
      </c>
      <c r="F13" s="3" t="s">
        <v>6</v>
      </c>
      <c r="G13" s="3">
        <f>VLOOKUP(B13,Population!A:B,2,FALSE)*(1-BP13/100)</f>
        <v>11483374</v>
      </c>
      <c r="H13" s="3">
        <f t="shared" si="1"/>
        <v>12</v>
      </c>
      <c r="I13" s="3">
        <f t="shared" si="2"/>
        <v>9</v>
      </c>
      <c r="J13" s="3" t="str">
        <f t="shared" si="3"/>
        <v>Low</v>
      </c>
    </row>
    <row r="14">
      <c r="A14" s="1" t="s">
        <v>54</v>
      </c>
      <c r="B14" s="1" t="s">
        <v>55</v>
      </c>
      <c r="C14" s="1" t="s">
        <v>4</v>
      </c>
      <c r="D14" s="1" t="s">
        <v>5</v>
      </c>
      <c r="E14" s="1">
        <v>36.0</v>
      </c>
      <c r="F14" s="3" t="s">
        <v>6</v>
      </c>
      <c r="G14" s="3">
        <f>VLOOKUP(B14,Population!A:B,2,FALSE)*(1-BP14/100)</f>
        <v>33635160</v>
      </c>
      <c r="H14" s="3">
        <f t="shared" si="1"/>
        <v>42</v>
      </c>
      <c r="I14" s="3">
        <f t="shared" si="2"/>
        <v>43</v>
      </c>
      <c r="J14" s="3" t="str">
        <f t="shared" si="3"/>
        <v>Moderate</v>
      </c>
    </row>
    <row r="15">
      <c r="A15" s="3" t="s">
        <v>60</v>
      </c>
      <c r="B15" s="3" t="s">
        <v>61</v>
      </c>
      <c r="C15" s="3" t="s">
        <v>4</v>
      </c>
      <c r="D15" s="3" t="s">
        <v>5</v>
      </c>
      <c r="E15" s="3">
        <v>89.8</v>
      </c>
      <c r="F15" s="3" t="s">
        <v>6</v>
      </c>
      <c r="G15" s="3">
        <f>VLOOKUP(B15,Population!A:B,2,FALSE)*(1-BP15/100)</f>
        <v>850387</v>
      </c>
      <c r="H15" s="3">
        <f t="shared" si="1"/>
        <v>14</v>
      </c>
      <c r="I15" s="3">
        <f t="shared" si="2"/>
        <v>11</v>
      </c>
      <c r="J15" s="3" t="str">
        <f t="shared" si="3"/>
        <v>Low</v>
      </c>
    </row>
    <row r="16">
      <c r="A16" s="3" t="s">
        <v>0</v>
      </c>
      <c r="B16" s="3" t="s">
        <v>2</v>
      </c>
      <c r="C16" s="3" t="s">
        <v>4</v>
      </c>
      <c r="D16" s="3" t="s">
        <v>5</v>
      </c>
      <c r="E16" s="3">
        <v>39.4</v>
      </c>
      <c r="F16" s="3" t="s">
        <v>6</v>
      </c>
      <c r="G16" s="3">
        <f>VLOOKUP(B16,Population!A:B,2,FALSE)*(1-BP16/100)</f>
        <v>31195932</v>
      </c>
      <c r="H16" s="3">
        <f t="shared" si="1"/>
        <v>8</v>
      </c>
      <c r="I16" s="3">
        <f t="shared" si="2"/>
        <v>18</v>
      </c>
      <c r="J16" s="3" t="str">
        <f t="shared" si="3"/>
        <v>Low</v>
      </c>
    </row>
    <row r="17">
      <c r="A17" s="1" t="s">
        <v>66</v>
      </c>
      <c r="B17" s="1" t="s">
        <v>67</v>
      </c>
      <c r="C17" s="1" t="s">
        <v>4</v>
      </c>
      <c r="D17" s="1" t="s">
        <v>5</v>
      </c>
      <c r="E17" s="1">
        <v>21.7</v>
      </c>
      <c r="F17" s="3" t="s">
        <v>6</v>
      </c>
      <c r="G17" s="3">
        <f>VLOOKUP(B17,Population!A:B,2,FALSE)*(1-BP17/100)</f>
        <v>23025776</v>
      </c>
      <c r="H17" s="3">
        <f t="shared" si="1"/>
        <v>42</v>
      </c>
      <c r="I17" s="3">
        <f t="shared" si="2"/>
        <v>43</v>
      </c>
      <c r="J17" s="3" t="str">
        <f t="shared" si="3"/>
        <v>Low</v>
      </c>
    </row>
    <row r="18">
      <c r="A18" s="1" t="s">
        <v>60</v>
      </c>
      <c r="B18" s="1" t="s">
        <v>61</v>
      </c>
      <c r="C18" s="1" t="s">
        <v>4</v>
      </c>
      <c r="D18" s="1" t="s">
        <v>5</v>
      </c>
      <c r="E18" s="1">
        <v>89.8</v>
      </c>
      <c r="F18" s="3" t="s">
        <v>6</v>
      </c>
      <c r="G18" s="3">
        <f>VLOOKUP(B18,Population!A:B,2,FALSE)*(1-BP18/100)</f>
        <v>850387</v>
      </c>
      <c r="H18" s="3">
        <f t="shared" si="1"/>
        <v>26</v>
      </c>
      <c r="I18" s="3">
        <f t="shared" si="2"/>
        <v>34</v>
      </c>
      <c r="J18" s="3" t="str">
        <f t="shared" si="3"/>
        <v>Low</v>
      </c>
    </row>
    <row r="19">
      <c r="A19" s="1" t="s">
        <v>72</v>
      </c>
      <c r="B19" s="1" t="s">
        <v>73</v>
      </c>
      <c r="C19" s="1" t="s">
        <v>4</v>
      </c>
      <c r="D19" s="1" t="s">
        <v>5</v>
      </c>
      <c r="E19" s="1">
        <v>56.7</v>
      </c>
      <c r="F19" s="3" t="s">
        <v>6</v>
      </c>
      <c r="G19" s="3">
        <f>VLOOKUP(B19,Population!A:B,2,FALSE)*(1-BP19/100)</f>
        <v>2963095</v>
      </c>
      <c r="H19" s="3">
        <f t="shared" si="1"/>
        <v>40</v>
      </c>
      <c r="I19" s="3">
        <f t="shared" si="2"/>
        <v>42</v>
      </c>
      <c r="J19" s="3" t="str">
        <f t="shared" si="3"/>
        <v>Low</v>
      </c>
    </row>
    <row r="20">
      <c r="A20" s="1" t="s">
        <v>76</v>
      </c>
      <c r="B20" s="1" t="s">
        <v>77</v>
      </c>
      <c r="C20" s="1" t="s">
        <v>4</v>
      </c>
      <c r="D20" s="1" t="s">
        <v>5</v>
      </c>
      <c r="E20" s="1">
        <v>86.4</v>
      </c>
      <c r="F20" s="3" t="s">
        <v>6</v>
      </c>
      <c r="G20" s="3">
        <f>VLOOKUP(B20,Population!A:B,2,FALSE)*(1-BP20/100)</f>
        <v>1230506</v>
      </c>
      <c r="H20" s="3">
        <f t="shared" si="1"/>
        <v>6</v>
      </c>
      <c r="I20" s="3">
        <f t="shared" si="2"/>
        <v>31</v>
      </c>
      <c r="J20" s="3" t="str">
        <f t="shared" si="3"/>
        <v>High</v>
      </c>
    </row>
    <row r="21">
      <c r="A21" s="3" t="s">
        <v>80</v>
      </c>
      <c r="B21" s="3" t="s">
        <v>81</v>
      </c>
      <c r="C21" s="3" t="s">
        <v>4</v>
      </c>
      <c r="D21" s="3" t="s">
        <v>5</v>
      </c>
      <c r="E21" s="3">
        <v>17.6</v>
      </c>
      <c r="F21" s="3" t="s">
        <v>6</v>
      </c>
      <c r="G21" s="3">
        <f>VLOOKUP(B21,Population!A:B,2,FALSE)*(1-BP21/100)</f>
        <v>5152421</v>
      </c>
      <c r="H21" s="3">
        <f t="shared" si="1"/>
        <v>9</v>
      </c>
      <c r="I21" s="3">
        <f t="shared" si="2"/>
        <v>3</v>
      </c>
      <c r="J21" s="3" t="str">
        <f t="shared" si="3"/>
        <v>Low</v>
      </c>
    </row>
    <row r="22">
      <c r="A22" s="3" t="s">
        <v>82</v>
      </c>
      <c r="B22" s="3" t="s">
        <v>83</v>
      </c>
      <c r="C22" s="3" t="s">
        <v>4</v>
      </c>
      <c r="D22" s="3" t="s">
        <v>5</v>
      </c>
      <c r="E22" s="3">
        <v>22.1</v>
      </c>
      <c r="F22" s="3" t="s">
        <v>6</v>
      </c>
      <c r="G22" s="3">
        <f>VLOOKUP(B22,Population!A:B,2,FALSE)*(1-BP22/100)</f>
        <v>105789731</v>
      </c>
      <c r="H22" s="3">
        <f t="shared" si="1"/>
        <v>45</v>
      </c>
      <c r="I22" s="3">
        <f t="shared" si="2"/>
        <v>45</v>
      </c>
      <c r="J22" s="3" t="str">
        <f t="shared" si="3"/>
        <v>Low</v>
      </c>
    </row>
    <row r="23">
      <c r="A23" s="1" t="s">
        <v>84</v>
      </c>
      <c r="B23" s="1" t="s">
        <v>85</v>
      </c>
      <c r="C23" s="1" t="s">
        <v>4</v>
      </c>
      <c r="D23" s="1" t="s">
        <v>5</v>
      </c>
      <c r="E23" s="1">
        <v>98.6</v>
      </c>
      <c r="F23" s="3" t="s">
        <v>6</v>
      </c>
      <c r="G23" s="3">
        <f>VLOOKUP(B23,Population!A:B,2,FALSE)*(1-BP23/100)</f>
        <v>522331</v>
      </c>
      <c r="H23" s="3">
        <f t="shared" si="1"/>
        <v>20</v>
      </c>
      <c r="I23" s="3">
        <f t="shared" si="2"/>
        <v>29</v>
      </c>
      <c r="J23" s="3" t="str">
        <f t="shared" si="3"/>
        <v>Low</v>
      </c>
    </row>
    <row r="24">
      <c r="A24" s="3" t="s">
        <v>86</v>
      </c>
      <c r="B24" s="3" t="s">
        <v>87</v>
      </c>
      <c r="C24" s="3" t="s">
        <v>4</v>
      </c>
      <c r="D24" s="3" t="s">
        <v>5</v>
      </c>
      <c r="E24" s="3">
        <v>51.3</v>
      </c>
      <c r="F24" s="3" t="s">
        <v>6</v>
      </c>
      <c r="G24" s="3">
        <f>VLOOKUP(B24,Population!A:B,2,FALSE)*(1-BP24/100)</f>
        <v>6182885</v>
      </c>
      <c r="H24" s="3">
        <f t="shared" si="1"/>
        <v>36</v>
      </c>
      <c r="I24" s="3">
        <f t="shared" si="2"/>
        <v>21</v>
      </c>
      <c r="J24" s="3" t="str">
        <f t="shared" si="3"/>
        <v>Low</v>
      </c>
    </row>
    <row r="25">
      <c r="A25" s="3" t="s">
        <v>90</v>
      </c>
      <c r="B25" s="3" t="s">
        <v>91</v>
      </c>
      <c r="C25" s="3" t="s">
        <v>4</v>
      </c>
      <c r="D25" s="3" t="s">
        <v>5</v>
      </c>
      <c r="E25" s="3">
        <v>74.2</v>
      </c>
      <c r="F25" s="3" t="s">
        <v>6</v>
      </c>
      <c r="G25" s="3">
        <f>VLOOKUP(B25,Population!A:B,2,FALSE)*(1-BP25/100)</f>
        <v>18077573</v>
      </c>
      <c r="H25" s="3">
        <f t="shared" si="1"/>
        <v>11</v>
      </c>
      <c r="I25" s="3">
        <f t="shared" si="2"/>
        <v>30</v>
      </c>
      <c r="J25" s="3" t="str">
        <f t="shared" si="3"/>
        <v>#VALUE!</v>
      </c>
    </row>
    <row r="26">
      <c r="A26" s="3" t="s">
        <v>94</v>
      </c>
      <c r="B26" s="3" t="s">
        <v>95</v>
      </c>
      <c r="C26" s="3" t="s">
        <v>4</v>
      </c>
      <c r="D26" s="3" t="s">
        <v>5</v>
      </c>
      <c r="E26" s="3">
        <v>32.5</v>
      </c>
      <c r="F26" s="3" t="s">
        <v>6</v>
      </c>
      <c r="G26" s="3">
        <f>VLOOKUP(B26,Population!A:B,2,FALSE)*(1-BP26/100)</f>
        <v>5493031</v>
      </c>
      <c r="H26" s="3">
        <f t="shared" si="1"/>
        <v>48</v>
      </c>
      <c r="I26" s="3" t="str">
        <f t="shared" si="2"/>
        <v>#VALUE!</v>
      </c>
      <c r="J26" s="3" t="str">
        <f t="shared" si="3"/>
        <v>High</v>
      </c>
    </row>
    <row r="27">
      <c r="A27" s="3" t="s">
        <v>8</v>
      </c>
      <c r="B27" s="3" t="s">
        <v>9</v>
      </c>
      <c r="C27" s="3" t="s">
        <v>10</v>
      </c>
      <c r="D27" s="3" t="s">
        <v>11</v>
      </c>
      <c r="E27" s="3">
        <v>2023.0</v>
      </c>
      <c r="F27" s="3" t="s">
        <v>12</v>
      </c>
      <c r="G27" s="3" t="s">
        <v>13</v>
      </c>
      <c r="H27" s="3">
        <f t="shared" si="1"/>
        <v>28</v>
      </c>
      <c r="I27" s="3">
        <f t="shared" si="2"/>
        <v>1</v>
      </c>
      <c r="J27" s="3" t="str">
        <f t="shared" si="3"/>
        <v>Low</v>
      </c>
    </row>
    <row r="28">
      <c r="A28" s="3" t="s">
        <v>98</v>
      </c>
      <c r="B28" s="3" t="s">
        <v>99</v>
      </c>
      <c r="C28" s="3" t="s">
        <v>4</v>
      </c>
      <c r="D28" s="3" t="s">
        <v>5</v>
      </c>
      <c r="E28" s="3">
        <v>61.2</v>
      </c>
      <c r="F28" s="3" t="s">
        <v>6</v>
      </c>
      <c r="G28" s="3">
        <f>VLOOKUP(B28,Population!A:B,2,FALSE)*(1-BP28/100)</f>
        <v>227882945</v>
      </c>
      <c r="H28" s="3">
        <f t="shared" si="1"/>
        <v>36</v>
      </c>
      <c r="I28" s="3">
        <f t="shared" si="2"/>
        <v>21</v>
      </c>
      <c r="J28" s="3" t="str">
        <f t="shared" si="3"/>
        <v>Moderate</v>
      </c>
    </row>
    <row r="29">
      <c r="A29" s="1" t="s">
        <v>90</v>
      </c>
      <c r="B29" s="1" t="s">
        <v>91</v>
      </c>
      <c r="C29" s="1" t="s">
        <v>4</v>
      </c>
      <c r="D29" s="1" t="s">
        <v>5</v>
      </c>
      <c r="E29" s="1">
        <v>74.2</v>
      </c>
      <c r="F29" s="3" t="s">
        <v>6</v>
      </c>
      <c r="G29" s="3">
        <f>VLOOKUP(B29,Population!A:B,2,FALSE)*(1-BP29/100)</f>
        <v>18077573</v>
      </c>
      <c r="H29" s="3">
        <f t="shared" si="1"/>
        <v>33</v>
      </c>
      <c r="I29" s="3">
        <f t="shared" si="2"/>
        <v>14</v>
      </c>
      <c r="J29" s="3" t="str">
        <f t="shared" si="3"/>
        <v>Low</v>
      </c>
    </row>
    <row r="30">
      <c r="A30" s="3" t="s">
        <v>104</v>
      </c>
      <c r="B30" s="3" t="s">
        <v>105</v>
      </c>
      <c r="C30" s="3" t="s">
        <v>4</v>
      </c>
      <c r="D30" s="3" t="s">
        <v>5</v>
      </c>
      <c r="E30" s="3">
        <v>72.0</v>
      </c>
      <c r="F30" s="3" t="s">
        <v>6</v>
      </c>
      <c r="G30" s="3">
        <f>VLOOKUP(B30,Population!A:B,2,FALSE)*(1-BP30/100)</f>
        <v>28372687</v>
      </c>
      <c r="H30" s="3">
        <f t="shared" si="1"/>
        <v>39</v>
      </c>
      <c r="I30" s="3">
        <f t="shared" si="2"/>
        <v>46</v>
      </c>
      <c r="J30" s="3" t="str">
        <f t="shared" si="3"/>
        <v>Low</v>
      </c>
    </row>
    <row r="31">
      <c r="A31" s="3" t="s">
        <v>108</v>
      </c>
      <c r="B31" s="3" t="s">
        <v>109</v>
      </c>
      <c r="C31" s="3" t="s">
        <v>4</v>
      </c>
      <c r="D31" s="3" t="s">
        <v>5</v>
      </c>
      <c r="E31" s="3">
        <v>81.3</v>
      </c>
      <c r="F31" s="3" t="s">
        <v>6</v>
      </c>
      <c r="G31" s="3">
        <f>VLOOKUP(B31,Population!A:B,2,FALSE)*(1-BP31/100)</f>
        <v>230871</v>
      </c>
      <c r="H31" s="3">
        <f t="shared" si="1"/>
        <v>30</v>
      </c>
      <c r="I31" s="3">
        <f t="shared" si="2"/>
        <v>40</v>
      </c>
      <c r="J31" s="3" t="str">
        <f t="shared" si="3"/>
        <v>Low</v>
      </c>
    </row>
    <row r="32">
      <c r="A32" s="1" t="s">
        <v>112</v>
      </c>
      <c r="B32" s="1" t="s">
        <v>113</v>
      </c>
      <c r="C32" s="1" t="s">
        <v>4</v>
      </c>
      <c r="D32" s="1" t="s">
        <v>5</v>
      </c>
      <c r="E32" s="1">
        <v>66.9</v>
      </c>
      <c r="F32" s="3" t="s">
        <v>6</v>
      </c>
      <c r="G32" s="3">
        <f>VLOOKUP(B32,Population!A:B,2,FALSE)*(1-BP32/100)</f>
        <v>1847549</v>
      </c>
      <c r="H32" s="3">
        <f t="shared" si="1"/>
        <v>30</v>
      </c>
      <c r="I32" s="3">
        <f t="shared" si="2"/>
        <v>35</v>
      </c>
      <c r="J32" s="3" t="str">
        <f t="shared" si="3"/>
        <v>Low</v>
      </c>
    </row>
    <row r="33">
      <c r="A33" s="1" t="s">
        <v>116</v>
      </c>
      <c r="B33" s="1" t="s">
        <v>117</v>
      </c>
      <c r="C33" s="1" t="s">
        <v>4</v>
      </c>
      <c r="D33" s="1" t="s">
        <v>5</v>
      </c>
      <c r="E33" s="1">
        <v>66.9</v>
      </c>
      <c r="F33" s="3" t="s">
        <v>6</v>
      </c>
      <c r="G33" s="3">
        <f>VLOOKUP(B33,Population!A:B,2,FALSE)*(1-BP33/100)</f>
        <v>2697845</v>
      </c>
      <c r="H33" s="3">
        <f t="shared" si="1"/>
        <v>46</v>
      </c>
      <c r="I33" s="3">
        <f t="shared" si="2"/>
        <v>47</v>
      </c>
      <c r="J33" s="3" t="str">
        <f t="shared" si="3"/>
        <v>Low</v>
      </c>
    </row>
    <row r="34">
      <c r="A34" s="3" t="s">
        <v>120</v>
      </c>
      <c r="B34" s="3" t="s">
        <v>121</v>
      </c>
      <c r="C34" s="3" t="s">
        <v>4</v>
      </c>
      <c r="D34" s="3" t="s">
        <v>5</v>
      </c>
      <c r="E34" s="3">
        <v>100.0</v>
      </c>
      <c r="F34" s="3" t="s">
        <v>6</v>
      </c>
      <c r="G34" s="3">
        <f>VLOOKUP(B34,Population!A:B,2,FALSE)*(1-BP34/100)</f>
        <v>119773</v>
      </c>
      <c r="H34" s="3">
        <f t="shared" si="1"/>
        <v>17</v>
      </c>
      <c r="I34" s="3">
        <f t="shared" si="2"/>
        <v>23</v>
      </c>
      <c r="J34" s="3" t="str">
        <f t="shared" si="3"/>
        <v>Moderate</v>
      </c>
    </row>
    <row r="35">
      <c r="A35" s="3" t="s">
        <v>124</v>
      </c>
      <c r="B35" s="3" t="s">
        <v>125</v>
      </c>
      <c r="C35" s="3" t="s">
        <v>4</v>
      </c>
      <c r="D35" s="3" t="s">
        <v>5</v>
      </c>
      <c r="E35" s="3">
        <v>51.1</v>
      </c>
      <c r="F35" s="3" t="s">
        <v>6</v>
      </c>
      <c r="G35" s="3">
        <f>VLOOKUP(B35,Population!A:B,2,FALSE)*(1-BP35/100)</f>
        <v>14405468</v>
      </c>
      <c r="H35" s="3">
        <f t="shared" si="1"/>
        <v>17</v>
      </c>
      <c r="I35" s="3">
        <f t="shared" si="2"/>
        <v>7</v>
      </c>
      <c r="J35" s="3" t="str">
        <f t="shared" si="3"/>
        <v>Low</v>
      </c>
    </row>
    <row r="36">
      <c r="A36" s="1" t="s">
        <v>32</v>
      </c>
      <c r="B36" s="1" t="s">
        <v>33</v>
      </c>
      <c r="C36" s="1" t="s">
        <v>4</v>
      </c>
      <c r="D36" s="1" t="s">
        <v>5</v>
      </c>
      <c r="E36" s="1">
        <v>51.1</v>
      </c>
      <c r="F36" s="3" t="s">
        <v>6</v>
      </c>
      <c r="G36" s="3">
        <f>VLOOKUP(B36,Population!A:B,2,FALSE)*(1-BP36/100)</f>
        <v>36749906</v>
      </c>
      <c r="H36" s="3">
        <f t="shared" si="1"/>
        <v>29</v>
      </c>
      <c r="I36" s="3">
        <f t="shared" si="2"/>
        <v>25</v>
      </c>
      <c r="J36" s="3" t="str">
        <f t="shared" si="3"/>
        <v>Low</v>
      </c>
    </row>
    <row r="37">
      <c r="A37" s="3" t="s">
        <v>128</v>
      </c>
      <c r="B37" s="3" t="s">
        <v>129</v>
      </c>
      <c r="C37" s="3" t="s">
        <v>4</v>
      </c>
      <c r="D37" s="3" t="s">
        <v>5</v>
      </c>
      <c r="E37" s="3">
        <v>63.9</v>
      </c>
      <c r="F37" s="3" t="s">
        <v>6</v>
      </c>
      <c r="G37" s="3">
        <f>VLOOKUP(B37,Population!A:B,2,FALSE)*(1-BP37/100)</f>
        <v>13954471</v>
      </c>
      <c r="H37" s="3">
        <f t="shared" si="1"/>
        <v>27</v>
      </c>
      <c r="I37" s="3">
        <f t="shared" si="2"/>
        <v>38</v>
      </c>
      <c r="J37" s="3" t="str">
        <f t="shared" si="3"/>
        <v>Moderate</v>
      </c>
    </row>
    <row r="38">
      <c r="A38" s="3" t="s">
        <v>132</v>
      </c>
      <c r="B38" s="3" t="s">
        <v>133</v>
      </c>
      <c r="C38" s="3" t="s">
        <v>4</v>
      </c>
      <c r="D38" s="3" t="s">
        <v>5</v>
      </c>
      <c r="E38" s="3">
        <v>57.3</v>
      </c>
      <c r="F38" s="3" t="s">
        <v>6</v>
      </c>
      <c r="G38" s="3">
        <f>VLOOKUP(B38,Population!A:B,2,FALSE)*(1-BP38/100)</f>
        <v>2311472</v>
      </c>
      <c r="H38" s="3">
        <f t="shared" si="1"/>
        <v>41</v>
      </c>
      <c r="I38" s="3">
        <f t="shared" si="2"/>
        <v>8</v>
      </c>
      <c r="J38" s="3" t="str">
        <f t="shared" si="3"/>
        <v>High</v>
      </c>
    </row>
    <row r="39">
      <c r="A39" s="1" t="s">
        <v>136</v>
      </c>
      <c r="B39" s="1" t="s">
        <v>137</v>
      </c>
      <c r="C39" s="1" t="s">
        <v>4</v>
      </c>
      <c r="D39" s="1" t="s">
        <v>5</v>
      </c>
      <c r="E39" s="1">
        <v>89.5</v>
      </c>
      <c r="F39" s="3" t="s">
        <v>6</v>
      </c>
      <c r="G39" s="3">
        <f>VLOOKUP(B39,Population!A:B,2,FALSE)*(1-BP39/100)</f>
        <v>33787914</v>
      </c>
      <c r="H39" s="3">
        <f t="shared" si="1"/>
        <v>25</v>
      </c>
      <c r="I39" s="3">
        <f t="shared" si="2"/>
        <v>2</v>
      </c>
      <c r="J39" s="3" t="str">
        <f t="shared" si="3"/>
        <v>Moderate</v>
      </c>
    </row>
    <row r="40">
      <c r="A40" s="1" t="s">
        <v>140</v>
      </c>
      <c r="B40" s="1" t="s">
        <v>141</v>
      </c>
      <c r="C40" s="1" t="s">
        <v>4</v>
      </c>
      <c r="D40" s="1" t="s">
        <v>5</v>
      </c>
      <c r="E40" s="1">
        <v>55.4</v>
      </c>
      <c r="F40" s="3" t="s">
        <v>6</v>
      </c>
      <c r="G40" s="3">
        <f>VLOOKUP(B40,Population!A:B,2,FALSE)*(1-BP40/100)</f>
        <v>128691692</v>
      </c>
      <c r="H40" s="3">
        <f t="shared" si="1"/>
        <v>34</v>
      </c>
      <c r="I40" s="3">
        <f t="shared" si="2"/>
        <v>12</v>
      </c>
      <c r="J40" s="3" t="str">
        <f t="shared" si="3"/>
        <v>Low</v>
      </c>
    </row>
    <row r="41">
      <c r="A41" s="3" t="s">
        <v>142</v>
      </c>
      <c r="B41" s="3" t="s">
        <v>143</v>
      </c>
      <c r="C41" s="3" t="s">
        <v>4</v>
      </c>
      <c r="D41" s="3" t="s">
        <v>5</v>
      </c>
      <c r="E41" s="3">
        <v>72.4</v>
      </c>
      <c r="F41" s="3" t="s">
        <v>6</v>
      </c>
      <c r="G41" s="3">
        <f>VLOOKUP(B41,Population!A:B,2,FALSE)*(1-BP41/100)</f>
        <v>31165654</v>
      </c>
      <c r="H41" s="3">
        <f t="shared" si="1"/>
        <v>15</v>
      </c>
      <c r="I41" s="3">
        <f t="shared" si="2"/>
        <v>39</v>
      </c>
      <c r="J41" s="3" t="str">
        <f t="shared" si="3"/>
        <v>Moderate</v>
      </c>
    </row>
    <row r="42">
      <c r="A42" s="3" t="s">
        <v>144</v>
      </c>
      <c r="B42" s="3" t="s">
        <v>145</v>
      </c>
      <c r="C42" s="3" t="s">
        <v>4</v>
      </c>
      <c r="D42" s="3" t="s">
        <v>5</v>
      </c>
      <c r="E42" s="3">
        <v>40.5</v>
      </c>
      <c r="F42" s="3" t="s">
        <v>6</v>
      </c>
      <c r="G42" s="3">
        <f>VLOOKUP(B42,Population!A:B,2,FALSE)*(1-BP42/100)</f>
        <v>2153339</v>
      </c>
      <c r="H42" s="3">
        <f t="shared" si="1"/>
        <v>12</v>
      </c>
      <c r="I42" s="3">
        <f t="shared" si="2"/>
        <v>9</v>
      </c>
      <c r="J42" s="3" t="str">
        <f t="shared" si="3"/>
        <v>High</v>
      </c>
    </row>
    <row r="43">
      <c r="A43" s="3" t="s">
        <v>54</v>
      </c>
      <c r="B43" s="3" t="s">
        <v>55</v>
      </c>
      <c r="C43" s="3" t="s">
        <v>4</v>
      </c>
      <c r="D43" s="3" t="s">
        <v>5</v>
      </c>
      <c r="E43" s="3">
        <v>36.0</v>
      </c>
      <c r="F43" s="3" t="s">
        <v>6</v>
      </c>
      <c r="G43" s="3">
        <f>VLOOKUP(B43,Population!A:B,2,FALSE)*(1-BP43/100)</f>
        <v>33635160</v>
      </c>
      <c r="H43" s="3">
        <f t="shared" si="1"/>
        <v>9</v>
      </c>
      <c r="I43" s="3">
        <f t="shared" si="2"/>
        <v>3</v>
      </c>
      <c r="J43" s="3" t="str">
        <f t="shared" si="3"/>
        <v>Low</v>
      </c>
    </row>
    <row r="44">
      <c r="A44" s="1" t="s">
        <v>82</v>
      </c>
      <c r="B44" s="1" t="s">
        <v>83</v>
      </c>
      <c r="C44" s="1" t="s">
        <v>4</v>
      </c>
      <c r="D44" s="1" t="s">
        <v>5</v>
      </c>
      <c r="E44" s="1">
        <v>22.1</v>
      </c>
      <c r="F44" s="3" t="s">
        <v>6</v>
      </c>
      <c r="G44" s="3">
        <f>VLOOKUP(B44,Population!A:B,2,FALSE)*(1-BP44/100)</f>
        <v>105789731</v>
      </c>
      <c r="H44" s="3">
        <f t="shared" si="1"/>
        <v>30</v>
      </c>
      <c r="I44" s="3">
        <f t="shared" si="2"/>
        <v>35</v>
      </c>
      <c r="J44" s="3" t="str">
        <f t="shared" si="3"/>
        <v>Low</v>
      </c>
    </row>
    <row r="45">
      <c r="A45" s="1" t="s">
        <v>116</v>
      </c>
      <c r="B45" s="1" t="s">
        <v>117</v>
      </c>
      <c r="C45" s="1" t="s">
        <v>4</v>
      </c>
      <c r="D45" s="1" t="s">
        <v>5</v>
      </c>
      <c r="E45" s="1">
        <v>66.9</v>
      </c>
      <c r="F45" s="3" t="s">
        <v>6</v>
      </c>
      <c r="G45" s="3">
        <f>VLOOKUP(B45,Population!A:B,2,FALSE)*(1-BP45/100)</f>
        <v>2697845</v>
      </c>
      <c r="H45" s="3">
        <f t="shared" si="1"/>
        <v>3</v>
      </c>
      <c r="I45" s="3">
        <f t="shared" si="2"/>
        <v>26</v>
      </c>
      <c r="J45" s="3" t="str">
        <f t="shared" si="3"/>
        <v>Low</v>
      </c>
    </row>
    <row r="46">
      <c r="A46" s="3" t="s">
        <v>70</v>
      </c>
      <c r="B46" s="3" t="s">
        <v>71</v>
      </c>
      <c r="C46" s="3" t="s">
        <v>4</v>
      </c>
      <c r="D46" s="3" t="s">
        <v>5</v>
      </c>
      <c r="E46" s="3">
        <v>11.6</v>
      </c>
      <c r="F46" s="3" t="s">
        <v>6</v>
      </c>
      <c r="G46" s="3">
        <f>VLOOKUP(B46,Population!A:B,2,FALSE)*(1-BP46/100)</f>
        <v>13689450</v>
      </c>
      <c r="H46" s="3">
        <f t="shared" si="1"/>
        <v>17</v>
      </c>
      <c r="I46" s="3">
        <f t="shared" si="2"/>
        <v>23</v>
      </c>
      <c r="J46" s="3" t="str">
        <f t="shared" si="3"/>
        <v>Moderate</v>
      </c>
    </row>
    <row r="47">
      <c r="A47" s="1" t="s">
        <v>124</v>
      </c>
      <c r="B47" s="1" t="s">
        <v>125</v>
      </c>
      <c r="C47" s="1" t="s">
        <v>4</v>
      </c>
      <c r="D47" s="1" t="s">
        <v>5</v>
      </c>
      <c r="E47" s="1">
        <v>51.1</v>
      </c>
      <c r="F47" s="3" t="s">
        <v>6</v>
      </c>
      <c r="G47" s="3">
        <f>VLOOKUP(B47,Population!A:B,2,FALSE)*(1-BP47/100)</f>
        <v>14405468</v>
      </c>
      <c r="H47" s="3">
        <f t="shared" si="1"/>
        <v>34</v>
      </c>
      <c r="I47" s="3">
        <f t="shared" si="2"/>
        <v>12</v>
      </c>
      <c r="J47" s="3" t="str">
        <f t="shared" si="3"/>
        <v>Moderate</v>
      </c>
    </row>
    <row r="48">
      <c r="A48" s="1" t="s">
        <v>142</v>
      </c>
      <c r="B48" s="1" t="s">
        <v>143</v>
      </c>
      <c r="C48" s="1" t="s">
        <v>4</v>
      </c>
      <c r="D48" s="1" t="s">
        <v>5</v>
      </c>
      <c r="E48" s="1">
        <v>72.4</v>
      </c>
      <c r="F48" s="3" t="s">
        <v>6</v>
      </c>
      <c r="G48" s="3">
        <f>VLOOKUP(B48,Population!A:B,2,FALSE)*(1-BP48/100)</f>
        <v>31165654</v>
      </c>
      <c r="H48" s="3">
        <f t="shared" si="1"/>
        <v>7</v>
      </c>
      <c r="I48" s="3">
        <f t="shared" si="2"/>
        <v>15</v>
      </c>
      <c r="J48" s="3" t="str">
        <f t="shared" si="3"/>
        <v>#N/A</v>
      </c>
    </row>
    <row r="49">
      <c r="A49" s="3" t="s">
        <v>156</v>
      </c>
      <c r="B49" s="3" t="s">
        <v>157</v>
      </c>
      <c r="C49" s="3" t="s">
        <v>4</v>
      </c>
      <c r="D49" s="3" t="s">
        <v>5</v>
      </c>
      <c r="E49" s="3">
        <v>20.1</v>
      </c>
      <c r="F49" s="3" t="s">
        <v>6</v>
      </c>
      <c r="G49" s="3">
        <f>VLOOKUP(B49,Population!A:B,2,FALSE)*(1-BP49/100)</f>
        <v>26159867</v>
      </c>
      <c r="H49" s="3" t="str">
        <f t="shared" si="1"/>
        <v>#N/A</v>
      </c>
      <c r="I49" s="3" t="str">
        <f t="shared" si="2"/>
        <v>#N/A</v>
      </c>
      <c r="J49" s="3" t="str">
        <f t="shared" si="3"/>
        <v>Low</v>
      </c>
    </row>
    <row r="50">
      <c r="A50" s="3" t="s">
        <v>160</v>
      </c>
      <c r="B50" s="3" t="s">
        <v>161</v>
      </c>
      <c r="C50" s="3" t="s">
        <v>4</v>
      </c>
      <c r="D50" s="3" t="s">
        <v>5</v>
      </c>
      <c r="E50" s="3">
        <v>66.0</v>
      </c>
      <c r="F50" s="3" t="s">
        <v>6</v>
      </c>
      <c r="G50" s="3">
        <f>VLOOKUP(B50,Population!A:B,2,FALSE)*(1-BP50/100)</f>
        <v>50042791</v>
      </c>
      <c r="H50" s="3">
        <f t="shared" si="1"/>
        <v>46</v>
      </c>
      <c r="I50" s="3">
        <f t="shared" si="2"/>
        <v>47</v>
      </c>
      <c r="J50" s="3" t="str">
        <f t="shared" si="3"/>
        <v>Low</v>
      </c>
    </row>
    <row r="51">
      <c r="A51" s="1" t="s">
        <v>120</v>
      </c>
      <c r="B51" s="1" t="s">
        <v>121</v>
      </c>
      <c r="C51" s="1" t="s">
        <v>4</v>
      </c>
      <c r="D51" s="1" t="s">
        <v>5</v>
      </c>
      <c r="E51" s="1">
        <v>100.0</v>
      </c>
      <c r="F51" s="3" t="s">
        <v>6</v>
      </c>
      <c r="G51" s="3">
        <f>VLOOKUP(B51,Population!A:B,2,FALSE)*(1-BP51/100)</f>
        <v>119773</v>
      </c>
      <c r="H51" s="3">
        <f t="shared" si="1"/>
        <v>5</v>
      </c>
      <c r="I51" s="3">
        <f t="shared" si="2"/>
        <v>19</v>
      </c>
      <c r="J51" s="3" t="str">
        <f t="shared" si="3"/>
        <v>Moderate</v>
      </c>
    </row>
    <row r="52">
      <c r="A52" s="1" t="s">
        <v>42</v>
      </c>
      <c r="B52" s="1" t="s">
        <v>43</v>
      </c>
      <c r="C52" s="1" t="s">
        <v>4</v>
      </c>
      <c r="D52" s="1" t="s">
        <v>5</v>
      </c>
      <c r="E52" s="1">
        <v>15.6</v>
      </c>
      <c r="F52" s="3" t="s">
        <v>6</v>
      </c>
      <c r="G52" s="3">
        <f>VLOOKUP(B52,Population!A:B,2,FALSE)*(1-BP52/100)</f>
        <v>21104482</v>
      </c>
      <c r="H52" s="3">
        <f t="shared" si="1"/>
        <v>41</v>
      </c>
      <c r="I52" s="3">
        <f t="shared" si="2"/>
        <v>8</v>
      </c>
      <c r="J52" s="3" t="str">
        <f t="shared" si="3"/>
        <v>Moderate</v>
      </c>
    </row>
    <row r="53">
      <c r="A53" s="3" t="s">
        <v>136</v>
      </c>
      <c r="B53" s="3" t="s">
        <v>137</v>
      </c>
      <c r="C53" s="3" t="s">
        <v>4</v>
      </c>
      <c r="D53" s="3" t="s">
        <v>5</v>
      </c>
      <c r="E53" s="3">
        <v>89.5</v>
      </c>
      <c r="F53" s="3" t="s">
        <v>6</v>
      </c>
      <c r="G53" s="3">
        <f>VLOOKUP(B53,Population!A:B,2,FALSE)*(1-BP53/100)</f>
        <v>33787914</v>
      </c>
      <c r="H53" s="3">
        <f t="shared" si="1"/>
        <v>17</v>
      </c>
      <c r="I53" s="3">
        <f t="shared" si="2"/>
        <v>7</v>
      </c>
      <c r="J53" s="3" t="str">
        <f t="shared" si="3"/>
        <v>#N/A</v>
      </c>
    </row>
    <row r="54">
      <c r="A54" s="3" t="s">
        <v>32</v>
      </c>
      <c r="B54" s="3" t="s">
        <v>33</v>
      </c>
      <c r="C54" s="3" t="s">
        <v>4</v>
      </c>
      <c r="D54" s="3" t="s">
        <v>5</v>
      </c>
      <c r="E54" s="3">
        <v>51.1</v>
      </c>
      <c r="F54" s="3" t="s">
        <v>6</v>
      </c>
      <c r="G54" s="3">
        <f>VLOOKUP(B54,Population!A:B,2,FALSE)*(1-BP54/100)</f>
        <v>36749906</v>
      </c>
      <c r="H54" s="3" t="str">
        <f t="shared" si="1"/>
        <v>#N/A</v>
      </c>
      <c r="I54" s="3" t="str">
        <f t="shared" si="2"/>
        <v>#N/A</v>
      </c>
      <c r="J54" s="3" t="str">
        <f t="shared" si="3"/>
        <v>#N/A</v>
      </c>
    </row>
    <row r="55">
      <c r="A55" s="3" t="s">
        <v>78</v>
      </c>
      <c r="B55" s="3" t="s">
        <v>79</v>
      </c>
      <c r="C55" s="3" t="s">
        <v>4</v>
      </c>
      <c r="D55" s="3" t="s">
        <v>5</v>
      </c>
      <c r="E55" s="3">
        <v>57.0</v>
      </c>
      <c r="F55" s="3" t="s">
        <v>6</v>
      </c>
      <c r="G55" s="3">
        <f>VLOOKUP(B55,Population!A:B,2,FALSE)*(1-BP55/100)</f>
        <v>14111034</v>
      </c>
      <c r="H55" s="3" t="str">
        <f t="shared" si="1"/>
        <v>#N/A</v>
      </c>
      <c r="I55" s="3" t="str">
        <f t="shared" si="2"/>
        <v>#N/A</v>
      </c>
      <c r="J55" s="3" t="str">
        <f t="shared" si="3"/>
        <v>Low</v>
      </c>
    </row>
    <row r="56">
      <c r="A56" s="1" t="s">
        <v>164</v>
      </c>
      <c r="B56" s="1" t="s">
        <v>165</v>
      </c>
      <c r="C56" s="1" t="s">
        <v>4</v>
      </c>
      <c r="D56" s="1" t="s">
        <v>5</v>
      </c>
      <c r="E56" s="1">
        <v>35.5</v>
      </c>
      <c r="F56" s="1" t="s">
        <v>6</v>
      </c>
      <c r="G56" s="1">
        <f>VLOOKUP(B56,Population!A:B,2,FALSE)*(1-BP56/100)</f>
        <v>8460512</v>
      </c>
      <c r="H56" s="3">
        <f t="shared" si="1"/>
        <v>11</v>
      </c>
      <c r="I56" s="3">
        <f t="shared" si="2"/>
        <v>30</v>
      </c>
      <c r="J56" s="3" t="str">
        <f t="shared" si="3"/>
        <v>Low</v>
      </c>
    </row>
    <row r="57">
      <c r="A57" s="1" t="s">
        <v>94</v>
      </c>
      <c r="B57" s="1" t="s">
        <v>95</v>
      </c>
      <c r="C57" s="1" t="s">
        <v>4</v>
      </c>
      <c r="D57" s="1" t="s">
        <v>5</v>
      </c>
      <c r="E57" s="1">
        <v>32.5</v>
      </c>
      <c r="F57" s="3" t="s">
        <v>6</v>
      </c>
      <c r="G57" s="3">
        <f>VLOOKUP(B57,Population!A:B,2,FALSE)*(1-BP57/100)</f>
        <v>5493031</v>
      </c>
      <c r="H57" s="3">
        <f t="shared" si="1"/>
        <v>27</v>
      </c>
      <c r="I57" s="3">
        <f t="shared" si="2"/>
        <v>38</v>
      </c>
      <c r="J57" s="3" t="str">
        <f t="shared" si="3"/>
        <v>Low</v>
      </c>
    </row>
    <row r="58">
      <c r="A58" s="1" t="s">
        <v>132</v>
      </c>
      <c r="B58" s="1" t="s">
        <v>133</v>
      </c>
      <c r="C58" s="1" t="s">
        <v>4</v>
      </c>
      <c r="D58" s="1" t="s">
        <v>5</v>
      </c>
      <c r="E58" s="1">
        <v>57.3</v>
      </c>
      <c r="F58" s="3" t="s">
        <v>6</v>
      </c>
      <c r="G58" s="3">
        <f>VLOOKUP(B58,Population!A:B,2,FALSE)*(1-BP58/100)</f>
        <v>2311472</v>
      </c>
      <c r="H58" s="3">
        <f t="shared" si="1"/>
        <v>20</v>
      </c>
      <c r="I58" s="3">
        <f t="shared" si="2"/>
        <v>29</v>
      </c>
      <c r="J58" s="3" t="str">
        <f t="shared" si="3"/>
        <v>High</v>
      </c>
    </row>
    <row r="59">
      <c r="A59" s="1" t="s">
        <v>86</v>
      </c>
      <c r="B59" s="1" t="s">
        <v>87</v>
      </c>
      <c r="C59" s="1" t="s">
        <v>4</v>
      </c>
      <c r="D59" s="1" t="s">
        <v>5</v>
      </c>
      <c r="E59" s="1">
        <v>51.3</v>
      </c>
      <c r="F59" s="3" t="s">
        <v>6</v>
      </c>
      <c r="G59" s="3">
        <f>VLOOKUP(B59,Population!A:B,2,FALSE)*(1-BP59/100)</f>
        <v>6182885</v>
      </c>
      <c r="H59" s="3">
        <f t="shared" si="1"/>
        <v>28</v>
      </c>
      <c r="I59" s="3">
        <f t="shared" si="2"/>
        <v>1</v>
      </c>
      <c r="J59" s="3" t="str">
        <f t="shared" si="3"/>
        <v>Low</v>
      </c>
    </row>
    <row r="60">
      <c r="A60" s="1" t="s">
        <v>98</v>
      </c>
      <c r="B60" s="1" t="s">
        <v>99</v>
      </c>
      <c r="C60" s="1" t="s">
        <v>4</v>
      </c>
      <c r="D60" s="1" t="s">
        <v>5</v>
      </c>
      <c r="E60" s="1">
        <v>61.2</v>
      </c>
      <c r="F60" s="3" t="s">
        <v>6</v>
      </c>
      <c r="G60" s="3">
        <f>VLOOKUP(B60,Population!A:B,2,FALSE)*(1-BP60/100)</f>
        <v>227882945</v>
      </c>
      <c r="H60" s="3">
        <f t="shared" si="1"/>
        <v>39</v>
      </c>
      <c r="I60" s="3">
        <f t="shared" si="2"/>
        <v>46</v>
      </c>
      <c r="J60" s="3" t="str">
        <f t="shared" si="3"/>
        <v>#N/A</v>
      </c>
    </row>
    <row r="61">
      <c r="A61" s="1" t="s">
        <v>108</v>
      </c>
      <c r="B61" s="1" t="s">
        <v>109</v>
      </c>
      <c r="C61" s="1" t="s">
        <v>4</v>
      </c>
      <c r="D61" s="1" t="s">
        <v>5</v>
      </c>
      <c r="E61" s="1">
        <v>81.3</v>
      </c>
      <c r="F61" s="3" t="s">
        <v>6</v>
      </c>
      <c r="G61" s="3">
        <f>VLOOKUP(B61,Population!A:B,2,FALSE)*(1-BP61/100)</f>
        <v>230871</v>
      </c>
      <c r="H61" s="3" t="str">
        <f t="shared" si="1"/>
        <v>#N/A</v>
      </c>
      <c r="I61" s="3" t="str">
        <f t="shared" si="2"/>
        <v>#N/A</v>
      </c>
      <c r="J61" s="3" t="str">
        <f t="shared" si="3"/>
        <v>Low</v>
      </c>
    </row>
    <row r="62">
      <c r="A62" s="1" t="s">
        <v>170</v>
      </c>
      <c r="B62" s="1" t="s">
        <v>171</v>
      </c>
      <c r="C62" s="1" t="s">
        <v>4</v>
      </c>
      <c r="D62" s="1" t="s">
        <v>5</v>
      </c>
      <c r="E62" s="1">
        <v>59.2</v>
      </c>
      <c r="F62" s="3" t="s">
        <v>6</v>
      </c>
      <c r="G62" s="3">
        <f>VLOOKUP(B62,Population!A:B,2,FALSE)*(1-BP62/100)</f>
        <v>8223850</v>
      </c>
      <c r="H62" s="3">
        <f t="shared" si="1"/>
        <v>45</v>
      </c>
      <c r="I62" s="3">
        <f t="shared" si="2"/>
        <v>45</v>
      </c>
      <c r="J62" s="3" t="str">
        <f t="shared" si="3"/>
        <v>#N/A</v>
      </c>
    </row>
    <row r="63">
      <c r="A63" s="3" t="s">
        <v>84</v>
      </c>
      <c r="B63" s="3" t="s">
        <v>85</v>
      </c>
      <c r="C63" s="3" t="s">
        <v>4</v>
      </c>
      <c r="D63" s="3" t="s">
        <v>5</v>
      </c>
      <c r="E63" s="3">
        <v>98.6</v>
      </c>
      <c r="F63" s="3" t="s">
        <v>6</v>
      </c>
      <c r="G63" s="3">
        <f>VLOOKUP(B63,Population!A:B,2,FALSE)*(1-BP63/100)</f>
        <v>522331</v>
      </c>
      <c r="H63" s="3" t="str">
        <f t="shared" si="1"/>
        <v>#N/A</v>
      </c>
      <c r="I63" s="3" t="str">
        <f t="shared" si="2"/>
        <v>#N/A</v>
      </c>
      <c r="J63" s="3" t="str">
        <f t="shared" si="3"/>
        <v>High</v>
      </c>
    </row>
    <row r="64">
      <c r="A64" s="3" t="s">
        <v>176</v>
      </c>
      <c r="B64" s="3" t="s">
        <v>177</v>
      </c>
      <c r="C64" s="3" t="s">
        <v>4</v>
      </c>
      <c r="D64" s="3" t="s">
        <v>5</v>
      </c>
      <c r="E64" s="3">
        <v>50.3</v>
      </c>
      <c r="F64" s="3" t="s">
        <v>6</v>
      </c>
      <c r="G64" s="3">
        <f>VLOOKUP(B64,Population!A:B,2,FALSE)*(1-BP64/100)</f>
        <v>5022441</v>
      </c>
      <c r="H64" s="3">
        <f t="shared" si="1"/>
        <v>16</v>
      </c>
      <c r="I64" s="3">
        <f t="shared" si="2"/>
        <v>5</v>
      </c>
      <c r="J64" s="3" t="str">
        <f t="shared" si="3"/>
        <v>#N/A</v>
      </c>
    </row>
    <row r="65">
      <c r="A65" s="3" t="s">
        <v>38</v>
      </c>
      <c r="B65" s="3" t="s">
        <v>39</v>
      </c>
      <c r="C65" s="3" t="s">
        <v>4</v>
      </c>
      <c r="D65" s="3" t="s">
        <v>5</v>
      </c>
      <c r="E65" s="3">
        <v>48.3</v>
      </c>
      <c r="F65" s="3" t="s">
        <v>6</v>
      </c>
      <c r="G65" s="3">
        <f>VLOOKUP(B65,Population!A:B,2,FALSE)*(1-BP65/100)</f>
        <v>66617606</v>
      </c>
      <c r="H65" s="3" t="str">
        <f t="shared" si="1"/>
        <v>#N/A</v>
      </c>
      <c r="I65" s="3" t="str">
        <f t="shared" si="2"/>
        <v>#N/A</v>
      </c>
      <c r="J65" s="3" t="str">
        <f t="shared" si="3"/>
        <v>#N/A</v>
      </c>
    </row>
    <row r="66">
      <c r="A66" s="3" t="s">
        <v>170</v>
      </c>
      <c r="B66" s="3" t="s">
        <v>171</v>
      </c>
      <c r="C66" s="3" t="s">
        <v>4</v>
      </c>
      <c r="D66" s="3" t="s">
        <v>5</v>
      </c>
      <c r="E66" s="3">
        <v>59.2</v>
      </c>
      <c r="F66" s="3" t="s">
        <v>6</v>
      </c>
      <c r="G66" s="3">
        <f>VLOOKUP(B66,Population!A:B,2,FALSE)*(1-BP66/100)</f>
        <v>8223850</v>
      </c>
      <c r="H66" s="3" t="str">
        <f t="shared" si="1"/>
        <v>#N/A</v>
      </c>
      <c r="I66" s="3" t="str">
        <f t="shared" si="2"/>
        <v>#N/A</v>
      </c>
      <c r="J66" s="3" t="str">
        <f t="shared" si="3"/>
        <v>Low</v>
      </c>
    </row>
    <row r="67">
      <c r="A67" s="1" t="s">
        <v>138</v>
      </c>
      <c r="B67" s="1" t="s">
        <v>139</v>
      </c>
      <c r="C67" s="1" t="s">
        <v>4</v>
      </c>
      <c r="D67" s="1" t="s">
        <v>5</v>
      </c>
      <c r="E67" s="1">
        <v>76.0</v>
      </c>
      <c r="F67" s="3" t="s">
        <v>6</v>
      </c>
      <c r="G67" s="3">
        <f>VLOOKUP(B67,Population!A:B,2,FALSE)*(1-BP67/100)</f>
        <v>2480244</v>
      </c>
      <c r="H67" s="3">
        <f t="shared" si="1"/>
        <v>6</v>
      </c>
      <c r="I67" s="3">
        <f t="shared" si="2"/>
        <v>31</v>
      </c>
      <c r="J67" s="3" t="str">
        <f t="shared" si="3"/>
        <v>Low</v>
      </c>
    </row>
    <row r="68">
      <c r="A68" s="1" t="s">
        <v>80</v>
      </c>
      <c r="B68" s="1" t="s">
        <v>81</v>
      </c>
      <c r="C68" s="1" t="s">
        <v>4</v>
      </c>
      <c r="D68" s="1" t="s">
        <v>5</v>
      </c>
      <c r="E68" s="1">
        <v>17.6</v>
      </c>
      <c r="F68" s="3" t="s">
        <v>6</v>
      </c>
      <c r="G68" s="3">
        <f>VLOOKUP(B68,Population!A:B,2,FALSE)*(1-BP68/100)</f>
        <v>5152421</v>
      </c>
      <c r="H68" s="3">
        <f t="shared" si="1"/>
        <v>44</v>
      </c>
      <c r="I68" s="3">
        <f t="shared" si="2"/>
        <v>37</v>
      </c>
      <c r="J68" s="3" t="str">
        <f t="shared" si="3"/>
        <v>#N/A</v>
      </c>
    </row>
    <row r="69">
      <c r="A69" s="1" t="s">
        <v>46</v>
      </c>
      <c r="B69" s="1" t="s">
        <v>47</v>
      </c>
      <c r="C69" s="1" t="s">
        <v>4</v>
      </c>
      <c r="D69" s="1" t="s">
        <v>5</v>
      </c>
      <c r="E69" s="1">
        <v>94.1</v>
      </c>
      <c r="F69" s="3" t="s">
        <v>6</v>
      </c>
      <c r="G69" s="3">
        <f>VLOOKUP(B69,Population!A:B,2,FALSE)*(1-BP69/100)</f>
        <v>2484789</v>
      </c>
      <c r="H69" s="3" t="str">
        <f t="shared" si="1"/>
        <v>#N/A</v>
      </c>
      <c r="I69" s="3" t="str">
        <f t="shared" si="2"/>
        <v>#N/A</v>
      </c>
      <c r="J69" s="3" t="str">
        <f t="shared" si="3"/>
        <v>Low</v>
      </c>
    </row>
    <row r="70">
      <c r="A70" s="1" t="s">
        <v>176</v>
      </c>
      <c r="B70" s="1" t="s">
        <v>177</v>
      </c>
      <c r="C70" s="1" t="s">
        <v>4</v>
      </c>
      <c r="D70" s="1" t="s">
        <v>5</v>
      </c>
      <c r="E70" s="1">
        <v>50.3</v>
      </c>
      <c r="F70" s="3" t="s">
        <v>6</v>
      </c>
      <c r="G70" s="3">
        <f>VLOOKUP(B70,Population!A:B,2,FALSE)*(1-BP70/100)</f>
        <v>5022441</v>
      </c>
      <c r="H70" s="3">
        <f t="shared" si="1"/>
        <v>3</v>
      </c>
      <c r="I70" s="3">
        <f t="shared" si="2"/>
        <v>26</v>
      </c>
      <c r="J70" s="3" t="str">
        <f t="shared" si="3"/>
        <v>High</v>
      </c>
    </row>
    <row r="71">
      <c r="A71" s="1" t="s">
        <v>70</v>
      </c>
      <c r="B71" s="1" t="s">
        <v>71</v>
      </c>
      <c r="C71" s="1" t="s">
        <v>4</v>
      </c>
      <c r="D71" s="1" t="s">
        <v>5</v>
      </c>
      <c r="E71" s="1">
        <v>11.6</v>
      </c>
      <c r="F71" s="3" t="s">
        <v>6</v>
      </c>
      <c r="G71" s="3">
        <f>VLOOKUP(B71,Population!A:B,2,FALSE)*(1-BP71/100)</f>
        <v>13689450</v>
      </c>
      <c r="H71" s="3">
        <f t="shared" si="1"/>
        <v>25</v>
      </c>
      <c r="I71" s="3">
        <f t="shared" si="2"/>
        <v>2</v>
      </c>
      <c r="J71" s="3" t="str">
        <f t="shared" si="3"/>
        <v>#N/A</v>
      </c>
    </row>
    <row r="72">
      <c r="A72" s="3" t="s">
        <v>140</v>
      </c>
      <c r="B72" s="3" t="s">
        <v>141</v>
      </c>
      <c r="C72" s="3" t="s">
        <v>4</v>
      </c>
      <c r="D72" s="3" t="s">
        <v>5</v>
      </c>
      <c r="E72" s="3">
        <v>55.4</v>
      </c>
      <c r="F72" s="3" t="s">
        <v>6</v>
      </c>
      <c r="G72" s="3">
        <f>VLOOKUP(B72,Population!A:B,2,FALSE)*(1-BP72/100)</f>
        <v>128691692</v>
      </c>
      <c r="H72" s="3" t="str">
        <f t="shared" si="1"/>
        <v>#N/A</v>
      </c>
      <c r="I72" s="3" t="str">
        <f t="shared" si="2"/>
        <v>#N/A</v>
      </c>
      <c r="J72" s="3" t="str">
        <f t="shared" si="3"/>
        <v>Low</v>
      </c>
    </row>
    <row r="73">
      <c r="A73" s="1" t="s">
        <v>138</v>
      </c>
      <c r="B73" s="1" t="s">
        <v>139</v>
      </c>
      <c r="C73" s="1" t="s">
        <v>4</v>
      </c>
      <c r="D73" s="1" t="s">
        <v>5</v>
      </c>
      <c r="E73" s="1">
        <v>76.0</v>
      </c>
      <c r="F73" s="3" t="s">
        <v>6</v>
      </c>
      <c r="G73" s="3">
        <f>VLOOKUP(B73,Population!A:B,2,FALSE)*(1-BP73/100)</f>
        <v>2480244</v>
      </c>
      <c r="H73" s="3">
        <f t="shared" si="1"/>
        <v>30</v>
      </c>
      <c r="I73" s="3">
        <f t="shared" si="2"/>
        <v>40</v>
      </c>
      <c r="J73" s="3" t="str">
        <f t="shared" si="3"/>
        <v>Low</v>
      </c>
    </row>
    <row r="74">
      <c r="A74" s="1" t="s">
        <v>112</v>
      </c>
      <c r="B74" s="1" t="s">
        <v>113</v>
      </c>
      <c r="C74" s="1" t="s">
        <v>4</v>
      </c>
      <c r="D74" s="1" t="s">
        <v>5</v>
      </c>
      <c r="E74" s="1">
        <v>66.9</v>
      </c>
      <c r="F74" s="3" t="s">
        <v>6</v>
      </c>
      <c r="G74" s="3">
        <f>VLOOKUP(B74,Population!A:B,2,FALSE)*(1-BP74/100)</f>
        <v>1847549</v>
      </c>
      <c r="H74" s="3">
        <f t="shared" si="1"/>
        <v>29</v>
      </c>
      <c r="I74" s="3">
        <f t="shared" si="2"/>
        <v>25</v>
      </c>
      <c r="J74" s="3" t="str">
        <f t="shared" si="3"/>
        <v>#N/A</v>
      </c>
    </row>
    <row r="75">
      <c r="A75" s="1" t="s">
        <v>128</v>
      </c>
      <c r="B75" s="1" t="s">
        <v>129</v>
      </c>
      <c r="C75" s="1" t="s">
        <v>4</v>
      </c>
      <c r="D75" s="1" t="s">
        <v>5</v>
      </c>
      <c r="E75" s="1">
        <v>63.9</v>
      </c>
      <c r="F75" s="3" t="s">
        <v>6</v>
      </c>
      <c r="G75" s="3">
        <f>VLOOKUP(B75,Population!A:B,2,FALSE)*(1-BP75/100)</f>
        <v>13954471</v>
      </c>
      <c r="H75" s="3" t="str">
        <f t="shared" si="1"/>
        <v>#N/A</v>
      </c>
      <c r="I75" s="3" t="str">
        <f t="shared" si="2"/>
        <v>#N/A</v>
      </c>
      <c r="J75" s="3" t="str">
        <f t="shared" si="3"/>
        <v>Low</v>
      </c>
    </row>
    <row r="76">
      <c r="A76" s="3" t="s">
        <v>200</v>
      </c>
      <c r="B76" s="3" t="s">
        <v>201</v>
      </c>
      <c r="C76" s="3" t="s">
        <v>4</v>
      </c>
      <c r="D76" s="3" t="s">
        <v>5</v>
      </c>
      <c r="E76" s="3">
        <v>50.3</v>
      </c>
      <c r="F76" s="3" t="s">
        <v>6</v>
      </c>
      <c r="G76" s="3">
        <f>VLOOKUP(B76,Population!A:B,2,FALSE)*(1-BP76/100)</f>
        <v>18358615</v>
      </c>
      <c r="H76" s="3">
        <f t="shared" si="1"/>
        <v>46</v>
      </c>
      <c r="I76" s="3">
        <f t="shared" si="2"/>
        <v>41</v>
      </c>
      <c r="J76" s="3" t="str">
        <f t="shared" si="3"/>
        <v>Low</v>
      </c>
    </row>
    <row r="77">
      <c r="A77" s="3" t="s">
        <v>30</v>
      </c>
      <c r="B77" s="3" t="s">
        <v>31</v>
      </c>
      <c r="C77" s="3" t="s">
        <v>4</v>
      </c>
      <c r="D77" s="3" t="s">
        <v>5</v>
      </c>
      <c r="E77" s="3">
        <v>100.0</v>
      </c>
      <c r="F77" s="3" t="s">
        <v>6</v>
      </c>
      <c r="G77" s="3">
        <f>VLOOKUP(B77,Population!A:B,2,FALSE)*(1-BP77/100)</f>
        <v>1248647</v>
      </c>
      <c r="H77" s="3">
        <f t="shared" si="1"/>
        <v>40</v>
      </c>
      <c r="I77" s="3">
        <f t="shared" si="2"/>
        <v>42</v>
      </c>
      <c r="J77" s="3" t="str">
        <f t="shared" si="3"/>
        <v>Moderate</v>
      </c>
    </row>
    <row r="78">
      <c r="A78" s="3" t="s">
        <v>76</v>
      </c>
      <c r="B78" s="3" t="s">
        <v>77</v>
      </c>
      <c r="C78" s="3" t="s">
        <v>4</v>
      </c>
      <c r="D78" s="3" t="s">
        <v>5</v>
      </c>
      <c r="E78" s="3">
        <v>86.4</v>
      </c>
      <c r="F78" s="3" t="s">
        <v>6</v>
      </c>
      <c r="G78" s="3">
        <f>VLOOKUP(B78,Population!A:B,2,FALSE)*(1-BP78/100)</f>
        <v>1230506</v>
      </c>
      <c r="H78" s="3">
        <f t="shared" si="1"/>
        <v>38</v>
      </c>
      <c r="I78" s="3">
        <f t="shared" si="2"/>
        <v>6</v>
      </c>
      <c r="J78" s="3" t="str">
        <f t="shared" si="3"/>
        <v>Low</v>
      </c>
    </row>
    <row r="79">
      <c r="A79" s="3" t="s">
        <v>34</v>
      </c>
      <c r="B79" s="3" t="s">
        <v>35</v>
      </c>
      <c r="C79" s="3" t="s">
        <v>4</v>
      </c>
      <c r="D79" s="3" t="s">
        <v>5</v>
      </c>
      <c r="E79" s="3">
        <v>76.2</v>
      </c>
      <c r="F79" s="3" t="s">
        <v>6</v>
      </c>
      <c r="G79" s="3">
        <f>VLOOKUP(B79,Population!A:B,2,FALSE)*(1-BP79/100)</f>
        <v>55339003</v>
      </c>
      <c r="H79" s="3">
        <f t="shared" si="1"/>
        <v>4</v>
      </c>
      <c r="I79" s="3">
        <f t="shared" si="2"/>
        <v>20</v>
      </c>
      <c r="J79" s="3" t="str">
        <f t="shared" si="3"/>
        <v>#N/A</v>
      </c>
    </row>
    <row r="80">
      <c r="A80" s="3" t="s">
        <v>16</v>
      </c>
      <c r="B80" s="3" t="s">
        <v>17</v>
      </c>
      <c r="C80" s="3" t="s">
        <v>4</v>
      </c>
      <c r="D80" s="3" t="s">
        <v>5</v>
      </c>
      <c r="E80" s="3">
        <v>12.0</v>
      </c>
      <c r="F80" s="3" t="s">
        <v>6</v>
      </c>
      <c r="G80" s="3">
        <f>VLOOKUP(B80,Population!A:B,2,FALSE)*(1-BP80/100)</f>
        <v>19319064</v>
      </c>
      <c r="H80" s="3" t="str">
        <f t="shared" si="1"/>
        <v>#N/A</v>
      </c>
      <c r="I80" s="3" t="str">
        <f t="shared" si="2"/>
        <v>#N/A</v>
      </c>
      <c r="J80" s="3" t="str">
        <f t="shared" si="3"/>
        <v>Low</v>
      </c>
    </row>
    <row r="81">
      <c r="A81" s="1" t="s">
        <v>164</v>
      </c>
      <c r="B81" s="1" t="s">
        <v>165</v>
      </c>
      <c r="C81" s="1" t="s">
        <v>4</v>
      </c>
      <c r="D81" s="1" t="s">
        <v>5</v>
      </c>
      <c r="E81" s="1">
        <v>35.5</v>
      </c>
      <c r="F81" s="3" t="s">
        <v>6</v>
      </c>
      <c r="G81" s="3">
        <f>VLOOKUP(B81,Population!A:B,2,FALSE)*(1-BP81/100)</f>
        <v>8460512</v>
      </c>
      <c r="H81" s="3">
        <f t="shared" si="1"/>
        <v>26</v>
      </c>
      <c r="I81" s="3">
        <f t="shared" si="2"/>
        <v>34</v>
      </c>
      <c r="J81" s="3" t="str">
        <f t="shared" si="3"/>
        <v>Low</v>
      </c>
    </row>
    <row r="82">
      <c r="A82" s="3" t="s">
        <v>72</v>
      </c>
      <c r="B82" s="3" t="s">
        <v>73</v>
      </c>
      <c r="C82" s="3" t="s">
        <v>4</v>
      </c>
      <c r="D82" s="3" t="s">
        <v>5</v>
      </c>
      <c r="E82" s="3">
        <v>56.7</v>
      </c>
      <c r="F82" s="3" t="s">
        <v>6</v>
      </c>
      <c r="G82" s="3">
        <f>VLOOKUP(B82,Population!A:B,2,FALSE)*(1-BP82/100)</f>
        <v>2963095</v>
      </c>
      <c r="H82" s="3">
        <f t="shared" si="1"/>
        <v>8</v>
      </c>
      <c r="I82" s="3">
        <f t="shared" si="2"/>
        <v>18</v>
      </c>
      <c r="J82" s="3" t="str">
        <f t="shared" si="3"/>
        <v>#N/A</v>
      </c>
    </row>
    <row r="83">
      <c r="A83" s="3" t="s">
        <v>66</v>
      </c>
      <c r="B83" s="3" t="s">
        <v>67</v>
      </c>
      <c r="C83" s="3" t="s">
        <v>4</v>
      </c>
      <c r="D83" s="3" t="s">
        <v>5</v>
      </c>
      <c r="E83" s="3">
        <v>21.7</v>
      </c>
      <c r="F83" s="3" t="s">
        <v>6</v>
      </c>
      <c r="G83" s="3">
        <f>VLOOKUP(B83,Population!A:B,2,FALSE)*(1-BP83/100)</f>
        <v>23025776</v>
      </c>
      <c r="H83" s="3" t="str">
        <f t="shared" si="1"/>
        <v>#N/A</v>
      </c>
      <c r="I83" s="3" t="str">
        <f t="shared" si="2"/>
        <v>#N/A</v>
      </c>
      <c r="J83" s="3" t="str">
        <f t="shared" si="3"/>
        <v>High</v>
      </c>
    </row>
    <row r="84">
      <c r="A84" s="1" t="s">
        <v>1</v>
      </c>
      <c r="B84" s="1" t="s">
        <v>3</v>
      </c>
    </row>
    <row r="86">
      <c r="A86" s="1" t="s">
        <v>7</v>
      </c>
      <c r="B86" s="5">
        <v>46216.0</v>
      </c>
    </row>
    <row r="88">
      <c r="A88" s="3" t="s">
        <v>1</v>
      </c>
      <c r="B88" s="3" t="s">
        <v>3</v>
      </c>
    </row>
    <row r="90">
      <c r="A90" s="3" t="s">
        <v>7</v>
      </c>
      <c r="B90" s="5">
        <v>46216.0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31.63"/>
    <col customWidth="1" min="3" max="3" width="17.25"/>
  </cols>
  <sheetData>
    <row r="1">
      <c r="A1" s="2" t="s">
        <v>8</v>
      </c>
      <c r="B1" s="2" t="s">
        <v>544</v>
      </c>
      <c r="C1" s="2" t="s">
        <v>13</v>
      </c>
    </row>
    <row r="2">
      <c r="A2" s="2" t="s">
        <v>164</v>
      </c>
      <c r="B2" s="2" t="s">
        <v>4</v>
      </c>
      <c r="C2" s="3">
        <v>8460512.0</v>
      </c>
    </row>
    <row r="3">
      <c r="A3" s="2" t="s">
        <v>116</v>
      </c>
      <c r="B3" s="2" t="s">
        <v>4</v>
      </c>
      <c r="C3" s="3">
        <v>2697845.0</v>
      </c>
    </row>
    <row r="4">
      <c r="A4" s="2" t="s">
        <v>20</v>
      </c>
      <c r="B4" s="2" t="s">
        <v>4</v>
      </c>
      <c r="C4" s="3">
        <v>3470390.0</v>
      </c>
    </row>
    <row r="5">
      <c r="A5" s="2" t="s">
        <v>24</v>
      </c>
      <c r="B5" s="2" t="s">
        <v>4</v>
      </c>
      <c r="C5" s="3">
        <v>2.3769127E7</v>
      </c>
    </row>
    <row r="6">
      <c r="A6" s="2" t="s">
        <v>28</v>
      </c>
      <c r="B6" s="2" t="s">
        <v>4</v>
      </c>
      <c r="C6" s="3">
        <v>1.1483374E7</v>
      </c>
    </row>
    <row r="7">
      <c r="A7" s="2" t="s">
        <v>138</v>
      </c>
      <c r="B7" s="2" t="s">
        <v>4</v>
      </c>
      <c r="C7" s="3">
        <v>2480244.0</v>
      </c>
    </row>
    <row r="8">
      <c r="A8" s="2" t="s">
        <v>112</v>
      </c>
      <c r="B8" s="2" t="s">
        <v>4</v>
      </c>
      <c r="C8" s="3">
        <v>1847549.0</v>
      </c>
    </row>
    <row r="9">
      <c r="A9" s="2" t="s">
        <v>72</v>
      </c>
      <c r="B9" s="2" t="s">
        <v>4</v>
      </c>
      <c r="C9" s="3">
        <v>2963095.0</v>
      </c>
    </row>
    <row r="10">
      <c r="A10" s="2" t="s">
        <v>30</v>
      </c>
      <c r="B10" s="2" t="s">
        <v>4</v>
      </c>
      <c r="C10" s="3">
        <v>1248647.0</v>
      </c>
    </row>
    <row r="11">
      <c r="A11" s="2" t="s">
        <v>60</v>
      </c>
      <c r="B11" s="2" t="s">
        <v>4</v>
      </c>
      <c r="C11" s="3">
        <v>850387.0</v>
      </c>
    </row>
    <row r="12">
      <c r="A12" s="2" t="s">
        <v>84</v>
      </c>
      <c r="B12" s="2" t="s">
        <v>4</v>
      </c>
      <c r="C12" s="3">
        <v>522331.0</v>
      </c>
    </row>
    <row r="13">
      <c r="A13" s="2" t="s">
        <v>90</v>
      </c>
      <c r="B13" s="2" t="s">
        <v>4</v>
      </c>
      <c r="C13" s="3">
        <v>1.8077573E7</v>
      </c>
    </row>
    <row r="14">
      <c r="A14" s="2" t="s">
        <v>42</v>
      </c>
      <c r="B14" s="2" t="s">
        <v>4</v>
      </c>
      <c r="C14" s="3">
        <v>2.1104482E7</v>
      </c>
    </row>
    <row r="15">
      <c r="A15" s="2" t="s">
        <v>104</v>
      </c>
      <c r="B15" s="2" t="s">
        <v>4</v>
      </c>
      <c r="C15" s="3">
        <v>2.8372687E7</v>
      </c>
    </row>
    <row r="16">
      <c r="A16" s="2" t="s">
        <v>128</v>
      </c>
      <c r="B16" s="2" t="s">
        <v>4</v>
      </c>
      <c r="C16" s="3">
        <v>1.3954471E7</v>
      </c>
    </row>
    <row r="17">
      <c r="A17" s="2" t="s">
        <v>120</v>
      </c>
      <c r="B17" s="2" t="s">
        <v>4</v>
      </c>
      <c r="C17" s="3">
        <v>119773.0</v>
      </c>
    </row>
    <row r="18">
      <c r="A18" s="2" t="s">
        <v>108</v>
      </c>
      <c r="B18" s="2" t="s">
        <v>4</v>
      </c>
      <c r="C18" s="3">
        <v>230871.0</v>
      </c>
    </row>
    <row r="19">
      <c r="A19" s="2" t="s">
        <v>34</v>
      </c>
      <c r="B19" s="2" t="s">
        <v>4</v>
      </c>
      <c r="C19" s="3">
        <v>5.5339003E7</v>
      </c>
    </row>
    <row r="20">
      <c r="A20" s="2" t="s">
        <v>142</v>
      </c>
      <c r="B20" s="2" t="s">
        <v>4</v>
      </c>
      <c r="C20" s="3">
        <v>3.1165654E7</v>
      </c>
    </row>
    <row r="21">
      <c r="A21" s="2" t="s">
        <v>200</v>
      </c>
      <c r="B21" s="2" t="s">
        <v>4</v>
      </c>
      <c r="C21" s="3">
        <v>1.8358615E7</v>
      </c>
    </row>
    <row r="22">
      <c r="A22" s="2" t="s">
        <v>80</v>
      </c>
      <c r="B22" s="2" t="s">
        <v>4</v>
      </c>
      <c r="C22" s="3">
        <v>5152421.0</v>
      </c>
    </row>
    <row r="23">
      <c r="A23" s="2" t="s">
        <v>16</v>
      </c>
      <c r="B23" s="2" t="s">
        <v>4</v>
      </c>
      <c r="C23" s="3">
        <v>1.9319064E7</v>
      </c>
    </row>
    <row r="24">
      <c r="A24" s="2" t="s">
        <v>76</v>
      </c>
      <c r="B24" s="2" t="s">
        <v>4</v>
      </c>
      <c r="C24" s="3">
        <v>1230506.0</v>
      </c>
    </row>
    <row r="25">
      <c r="A25" s="2" t="s">
        <v>140</v>
      </c>
      <c r="B25" s="2" t="s">
        <v>4</v>
      </c>
      <c r="C25" s="3">
        <v>1.28691692E8</v>
      </c>
    </row>
    <row r="26">
      <c r="A26" s="2" t="s">
        <v>54</v>
      </c>
      <c r="B26" s="2" t="s">
        <v>4</v>
      </c>
      <c r="C26" s="3">
        <v>3.363516E7</v>
      </c>
    </row>
    <row r="27">
      <c r="A27" s="2" t="s">
        <v>86</v>
      </c>
      <c r="B27" s="2" t="s">
        <v>4</v>
      </c>
      <c r="C27" s="3">
        <v>6182885.0</v>
      </c>
    </row>
    <row r="28">
      <c r="A28" s="2" t="s">
        <v>156</v>
      </c>
      <c r="B28" s="2" t="s">
        <v>4</v>
      </c>
      <c r="C28" s="3">
        <v>2.6159867E7</v>
      </c>
    </row>
    <row r="29">
      <c r="A29" s="2" t="s">
        <v>124</v>
      </c>
      <c r="B29" s="2" t="s">
        <v>4</v>
      </c>
      <c r="C29" s="3">
        <v>1.4405468E7</v>
      </c>
    </row>
    <row r="30">
      <c r="A30" s="2" t="s">
        <v>160</v>
      </c>
      <c r="B30" s="2" t="s">
        <v>4</v>
      </c>
      <c r="C30" s="3">
        <v>5.0042791E7</v>
      </c>
    </row>
    <row r="31">
      <c r="A31" s="2" t="s">
        <v>94</v>
      </c>
      <c r="B31" s="2" t="s">
        <v>4</v>
      </c>
      <c r="C31" s="3">
        <v>5493031.0</v>
      </c>
    </row>
    <row r="32">
      <c r="A32" s="2" t="s">
        <v>144</v>
      </c>
      <c r="B32" s="2" t="s">
        <v>4</v>
      </c>
      <c r="C32" s="3">
        <v>2153339.0</v>
      </c>
    </row>
    <row r="33">
      <c r="A33" s="2" t="s">
        <v>82</v>
      </c>
      <c r="B33" s="2" t="s">
        <v>4</v>
      </c>
      <c r="C33" s="3">
        <v>1.05789731E8</v>
      </c>
    </row>
    <row r="34">
      <c r="A34" s="2" t="s">
        <v>176</v>
      </c>
      <c r="B34" s="2" t="s">
        <v>4</v>
      </c>
      <c r="C34" s="3">
        <v>5022441.0</v>
      </c>
    </row>
    <row r="35">
      <c r="A35" s="2" t="s">
        <v>132</v>
      </c>
      <c r="B35" s="2" t="s">
        <v>4</v>
      </c>
      <c r="C35" s="3">
        <v>2311472.0</v>
      </c>
    </row>
    <row r="36">
      <c r="A36" s="2" t="s">
        <v>0</v>
      </c>
      <c r="B36" s="2" t="s">
        <v>4</v>
      </c>
      <c r="C36" s="3">
        <v>3.1195932E7</v>
      </c>
    </row>
    <row r="37">
      <c r="A37" s="2" t="s">
        <v>98</v>
      </c>
      <c r="B37" s="2" t="s">
        <v>4</v>
      </c>
      <c r="C37" s="3">
        <v>2.27882945E8</v>
      </c>
    </row>
    <row r="38">
      <c r="A38" s="2" t="s">
        <v>38</v>
      </c>
      <c r="B38" s="2" t="s">
        <v>4</v>
      </c>
      <c r="C38" s="3">
        <v>6.6617606E7</v>
      </c>
    </row>
    <row r="39">
      <c r="A39" s="2" t="s">
        <v>46</v>
      </c>
      <c r="B39" s="2" t="s">
        <v>4</v>
      </c>
      <c r="C39" s="3">
        <v>2484789.0</v>
      </c>
    </row>
    <row r="40">
      <c r="A40" s="2" t="s">
        <v>136</v>
      </c>
      <c r="B40" s="2" t="s">
        <v>4</v>
      </c>
      <c r="C40" s="3">
        <v>3.3787914E7</v>
      </c>
    </row>
    <row r="41">
      <c r="A41" s="2" t="s">
        <v>170</v>
      </c>
      <c r="B41" s="2" t="s">
        <v>4</v>
      </c>
      <c r="C41" s="3">
        <v>8223850.0</v>
      </c>
    </row>
    <row r="42">
      <c r="A42" s="2" t="s">
        <v>8</v>
      </c>
      <c r="B42" s="2" t="s">
        <v>10</v>
      </c>
      <c r="C42" s="2" t="s">
        <v>13</v>
      </c>
    </row>
    <row r="43">
      <c r="A43" s="2" t="s">
        <v>32</v>
      </c>
      <c r="B43" s="2" t="s">
        <v>4</v>
      </c>
      <c r="C43" s="3">
        <v>3.6749906E7</v>
      </c>
    </row>
    <row r="44">
      <c r="A44" s="2" t="s">
        <v>70</v>
      </c>
      <c r="B44" s="2" t="s">
        <v>4</v>
      </c>
      <c r="C44" s="3">
        <v>1.368945E7</v>
      </c>
    </row>
    <row r="45">
      <c r="A45" s="2" t="s">
        <v>78</v>
      </c>
      <c r="B45" s="2" t="s">
        <v>4</v>
      </c>
      <c r="C45" s="3">
        <v>1.4111034E7</v>
      </c>
    </row>
    <row r="46">
      <c r="A46" s="2" t="s">
        <v>66</v>
      </c>
      <c r="B46" s="2" t="s">
        <v>4</v>
      </c>
      <c r="C46" s="3">
        <v>2.3025776E7</v>
      </c>
    </row>
    <row r="47">
      <c r="A47" s="2" t="s">
        <v>1</v>
      </c>
    </row>
    <row r="49">
      <c r="A49" s="1" t="s">
        <v>7</v>
      </c>
      <c r="B49" s="5">
        <v>46216.0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15">
      <c r="A15" s="10" t="s">
        <v>545</v>
      </c>
    </row>
    <row r="16">
      <c r="A16" s="10" t="s">
        <v>546</v>
      </c>
    </row>
    <row r="17">
      <c r="A17" s="1" t="s">
        <v>0</v>
      </c>
    </row>
    <row r="18">
      <c r="A18" s="1" t="s">
        <v>30</v>
      </c>
    </row>
    <row r="19">
      <c r="A19" s="1" t="s">
        <v>76</v>
      </c>
    </row>
    <row r="20">
      <c r="A20" s="3" t="s">
        <v>90</v>
      </c>
    </row>
    <row r="21">
      <c r="A21" s="3" t="s">
        <v>94</v>
      </c>
    </row>
    <row r="26">
      <c r="A26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</cols>
  <sheetData>
    <row r="1">
      <c r="A1" s="6" t="s">
        <v>3</v>
      </c>
      <c r="B1" s="6"/>
    </row>
    <row r="2">
      <c r="A2" s="7">
        <v>46216.0</v>
      </c>
      <c r="B2" s="6"/>
    </row>
    <row r="3">
      <c r="A3" s="6"/>
      <c r="B3" s="6"/>
    </row>
    <row r="4">
      <c r="A4" s="6" t="s">
        <v>9</v>
      </c>
      <c r="B4" s="6" t="s">
        <v>218</v>
      </c>
    </row>
    <row r="5">
      <c r="A5" s="6" t="s">
        <v>15</v>
      </c>
      <c r="B5" s="8">
        <v>107359.0</v>
      </c>
      <c r="C5" s="3" t="str">
        <f>VLOOKUP(B5, Population!A:B, 2, FALSE) * (1 - B5/100)</f>
        <v>#N/A</v>
      </c>
    </row>
    <row r="6">
      <c r="A6" s="6" t="s">
        <v>19</v>
      </c>
      <c r="B6" s="8">
        <v>7.5049137E8</v>
      </c>
    </row>
    <row r="7">
      <c r="A7" s="6" t="s">
        <v>23</v>
      </c>
      <c r="B7" s="8">
        <v>4.1454761E7</v>
      </c>
    </row>
    <row r="8">
      <c r="A8" s="6" t="s">
        <v>27</v>
      </c>
      <c r="B8" s="8">
        <v>5.08318102E8</v>
      </c>
    </row>
    <row r="9">
      <c r="A9" s="6" t="s">
        <v>33</v>
      </c>
      <c r="B9" s="8">
        <v>3.6749906E7</v>
      </c>
    </row>
    <row r="10">
      <c r="A10" s="6" t="s">
        <v>37</v>
      </c>
      <c r="B10" s="8">
        <v>2411658.0</v>
      </c>
    </row>
    <row r="11">
      <c r="A11" s="6" t="s">
        <v>41</v>
      </c>
      <c r="B11" s="8">
        <v>80856.0</v>
      </c>
    </row>
    <row r="12">
      <c r="A12" s="6" t="s">
        <v>45</v>
      </c>
      <c r="B12" s="8">
        <v>4.82105978E8</v>
      </c>
    </row>
    <row r="13">
      <c r="A13" s="6" t="s">
        <v>49</v>
      </c>
      <c r="B13" s="8">
        <v>1.0483751E7</v>
      </c>
    </row>
    <row r="14">
      <c r="A14" s="6" t="s">
        <v>51</v>
      </c>
      <c r="B14" s="8">
        <v>4.5538401E7</v>
      </c>
    </row>
    <row r="15">
      <c r="A15" s="6" t="s">
        <v>53</v>
      </c>
      <c r="B15" s="8">
        <v>2964300.0</v>
      </c>
    </row>
    <row r="16">
      <c r="A16" s="6" t="s">
        <v>57</v>
      </c>
      <c r="B16" s="8">
        <v>47521.0</v>
      </c>
    </row>
    <row r="17">
      <c r="A17" s="6" t="s">
        <v>59</v>
      </c>
      <c r="B17" s="8">
        <v>93316.0</v>
      </c>
    </row>
    <row r="18">
      <c r="A18" s="6" t="s">
        <v>63</v>
      </c>
      <c r="B18" s="8">
        <v>2.6659922E7</v>
      </c>
    </row>
    <row r="19">
      <c r="A19" s="6" t="s">
        <v>65</v>
      </c>
      <c r="B19" s="8">
        <v>9131761.0</v>
      </c>
    </row>
    <row r="20">
      <c r="A20" s="6" t="s">
        <v>69</v>
      </c>
      <c r="B20" s="8">
        <v>1.0153958E7</v>
      </c>
    </row>
    <row r="21">
      <c r="A21" s="6" t="s">
        <v>71</v>
      </c>
      <c r="B21" s="8">
        <v>1.368945E7</v>
      </c>
    </row>
    <row r="22">
      <c r="A22" s="6" t="s">
        <v>75</v>
      </c>
      <c r="B22" s="8">
        <v>1.1779946E7</v>
      </c>
    </row>
    <row r="23">
      <c r="A23" s="6" t="s">
        <v>79</v>
      </c>
      <c r="B23" s="8">
        <v>1.4111034E7</v>
      </c>
    </row>
    <row r="24">
      <c r="A24" s="6" t="s">
        <v>67</v>
      </c>
      <c r="B24" s="8">
        <v>2.3025776E7</v>
      </c>
    </row>
    <row r="25">
      <c r="A25" s="6" t="s">
        <v>89</v>
      </c>
      <c r="B25" s="8">
        <v>1.7146699E8</v>
      </c>
    </row>
    <row r="26">
      <c r="A26" s="6" t="s">
        <v>93</v>
      </c>
      <c r="B26" s="8">
        <v>6446596.0</v>
      </c>
    </row>
    <row r="27">
      <c r="A27" s="6" t="s">
        <v>97</v>
      </c>
      <c r="B27" s="8">
        <v>1577059.0</v>
      </c>
    </row>
    <row r="28">
      <c r="A28" s="6" t="s">
        <v>101</v>
      </c>
      <c r="B28" s="8">
        <v>399440.0</v>
      </c>
    </row>
    <row r="29">
      <c r="A29" s="6" t="s">
        <v>103</v>
      </c>
      <c r="B29" s="8">
        <v>3185073.0</v>
      </c>
    </row>
    <row r="30">
      <c r="A30" s="6" t="s">
        <v>107</v>
      </c>
      <c r="B30" s="8">
        <v>9178298.0</v>
      </c>
    </row>
    <row r="31">
      <c r="A31" s="6" t="s">
        <v>111</v>
      </c>
      <c r="B31" s="8">
        <v>411106.0</v>
      </c>
    </row>
    <row r="32">
      <c r="A32" s="6" t="s">
        <v>115</v>
      </c>
      <c r="B32" s="8">
        <v>64698.0</v>
      </c>
    </row>
    <row r="33">
      <c r="A33" s="6" t="s">
        <v>119</v>
      </c>
      <c r="B33" s="8">
        <v>1.2244159E7</v>
      </c>
    </row>
    <row r="34">
      <c r="A34" s="6" t="s">
        <v>123</v>
      </c>
      <c r="B34" s="8">
        <v>2.11140729E8</v>
      </c>
    </row>
    <row r="35">
      <c r="A35" s="6" t="s">
        <v>127</v>
      </c>
      <c r="B35" s="8">
        <v>282336.0</v>
      </c>
    </row>
    <row r="36">
      <c r="A36" s="6" t="s">
        <v>131</v>
      </c>
      <c r="B36" s="8">
        <v>458949.0</v>
      </c>
    </row>
    <row r="37">
      <c r="A37" s="6" t="s">
        <v>135</v>
      </c>
      <c r="B37" s="8">
        <v>786385.0</v>
      </c>
    </row>
    <row r="38">
      <c r="A38" s="6" t="s">
        <v>139</v>
      </c>
      <c r="B38" s="8">
        <v>2480244.0</v>
      </c>
    </row>
    <row r="39">
      <c r="A39" s="6" t="s">
        <v>81</v>
      </c>
      <c r="B39" s="8">
        <v>5152421.0</v>
      </c>
    </row>
    <row r="40">
      <c r="A40" s="6" t="s">
        <v>147</v>
      </c>
      <c r="B40" s="8">
        <v>4.0049088E7</v>
      </c>
    </row>
    <row r="41">
      <c r="A41" s="6" t="s">
        <v>149</v>
      </c>
      <c r="B41" s="8">
        <v>1.00183707E8</v>
      </c>
    </row>
    <row r="42">
      <c r="A42" s="6" t="s">
        <v>151</v>
      </c>
      <c r="B42" s="8">
        <v>8888822.0</v>
      </c>
    </row>
    <row r="43">
      <c r="A43" s="6" t="s">
        <v>153</v>
      </c>
      <c r="B43" s="8">
        <v>167691.0</v>
      </c>
    </row>
    <row r="44">
      <c r="A44" s="6" t="s">
        <v>155</v>
      </c>
      <c r="B44" s="8">
        <v>1.9658835E7</v>
      </c>
    </row>
    <row r="45">
      <c r="A45" s="6" t="s">
        <v>159</v>
      </c>
      <c r="B45" s="8">
        <v>1.41071E9</v>
      </c>
    </row>
    <row r="46">
      <c r="A46" s="6" t="s">
        <v>143</v>
      </c>
      <c r="B46" s="8">
        <v>3.1165654E7</v>
      </c>
    </row>
    <row r="47">
      <c r="A47" s="6" t="s">
        <v>105</v>
      </c>
      <c r="B47" s="8">
        <v>2.8372687E7</v>
      </c>
    </row>
    <row r="48">
      <c r="A48" s="6" t="s">
        <v>83</v>
      </c>
      <c r="B48" s="8">
        <v>1.05789731E8</v>
      </c>
    </row>
    <row r="49">
      <c r="A49" s="6" t="s">
        <v>87</v>
      </c>
      <c r="B49" s="8">
        <v>6182885.0</v>
      </c>
    </row>
    <row r="50">
      <c r="A50" s="6" t="s">
        <v>163</v>
      </c>
      <c r="B50" s="8">
        <v>5.2321152E7</v>
      </c>
    </row>
    <row r="51">
      <c r="A51" s="6" t="s">
        <v>61</v>
      </c>
      <c r="B51" s="8">
        <v>850387.0</v>
      </c>
    </row>
    <row r="52">
      <c r="A52" s="6" t="s">
        <v>85</v>
      </c>
      <c r="B52" s="8">
        <v>522331.0</v>
      </c>
    </row>
    <row r="53">
      <c r="A53" s="6" t="s">
        <v>167</v>
      </c>
      <c r="B53" s="8">
        <v>5105525.0</v>
      </c>
    </row>
    <row r="54">
      <c r="A54" s="6" t="s">
        <v>169</v>
      </c>
      <c r="B54" s="8">
        <v>4519904.0</v>
      </c>
    </row>
    <row r="55">
      <c r="A55" s="6" t="s">
        <v>173</v>
      </c>
      <c r="B55" s="8">
        <v>1.1019931E7</v>
      </c>
    </row>
    <row r="56">
      <c r="A56" s="6" t="s">
        <v>175</v>
      </c>
      <c r="B56" s="8">
        <v>154654.0</v>
      </c>
    </row>
    <row r="57">
      <c r="A57" s="6" t="s">
        <v>179</v>
      </c>
      <c r="B57" s="8">
        <v>73038.0</v>
      </c>
    </row>
    <row r="58">
      <c r="A58" s="6" t="s">
        <v>181</v>
      </c>
      <c r="B58" s="8">
        <v>1344976.0</v>
      </c>
    </row>
    <row r="59">
      <c r="A59" s="6" t="s">
        <v>183</v>
      </c>
      <c r="B59" s="8">
        <v>1.0864042E7</v>
      </c>
    </row>
    <row r="60">
      <c r="A60" s="6" t="s">
        <v>185</v>
      </c>
      <c r="B60" s="8">
        <v>8.3287273E7</v>
      </c>
    </row>
    <row r="61">
      <c r="A61" s="6" t="s">
        <v>187</v>
      </c>
      <c r="B61" s="8">
        <v>1152944.0</v>
      </c>
    </row>
    <row r="62">
      <c r="A62" s="6" t="s">
        <v>189</v>
      </c>
      <c r="B62" s="8">
        <v>66510.0</v>
      </c>
    </row>
    <row r="63">
      <c r="A63" s="6" t="s">
        <v>191</v>
      </c>
      <c r="B63" s="8">
        <v>5946952.0</v>
      </c>
    </row>
    <row r="64">
      <c r="A64" s="6" t="s">
        <v>193</v>
      </c>
      <c r="B64" s="8">
        <v>1.1331265E7</v>
      </c>
    </row>
    <row r="65">
      <c r="A65" s="6" t="s">
        <v>195</v>
      </c>
      <c r="B65" s="8">
        <v>4.6164219E7</v>
      </c>
    </row>
    <row r="66">
      <c r="A66" s="6" t="s">
        <v>197</v>
      </c>
      <c r="B66" s="8">
        <v>2.137527754E9</v>
      </c>
    </row>
    <row r="67">
      <c r="A67" s="6" t="s">
        <v>199</v>
      </c>
      <c r="B67" s="8">
        <v>3.51160765E9</v>
      </c>
    </row>
    <row r="68">
      <c r="A68" s="6" t="s">
        <v>203</v>
      </c>
      <c r="B68" s="8">
        <v>2.384441485E9</v>
      </c>
    </row>
    <row r="69">
      <c r="A69" s="6" t="s">
        <v>205</v>
      </c>
      <c r="B69" s="8">
        <v>2.48718948E8</v>
      </c>
    </row>
    <row r="70">
      <c r="A70" s="6" t="s">
        <v>207</v>
      </c>
      <c r="B70" s="8">
        <v>9.2480507E8</v>
      </c>
    </row>
    <row r="71">
      <c r="A71" s="6" t="s">
        <v>209</v>
      </c>
      <c r="B71" s="8">
        <v>1.7980083E7</v>
      </c>
    </row>
    <row r="72">
      <c r="A72" s="6" t="s">
        <v>211</v>
      </c>
      <c r="B72" s="8">
        <v>1.14535772E8</v>
      </c>
    </row>
    <row r="73">
      <c r="A73" s="6" t="s">
        <v>213</v>
      </c>
      <c r="B73" s="8">
        <v>3.56209318E8</v>
      </c>
    </row>
    <row r="74">
      <c r="A74" s="6" t="s">
        <v>21</v>
      </c>
      <c r="B74" s="8">
        <v>3470390.0</v>
      </c>
    </row>
    <row r="75">
      <c r="A75" s="6" t="s">
        <v>215</v>
      </c>
      <c r="B75" s="8">
        <v>4.8352528E7</v>
      </c>
    </row>
    <row r="76">
      <c r="A76" s="6" t="s">
        <v>217</v>
      </c>
      <c r="B76" s="8">
        <v>1370286.0</v>
      </c>
    </row>
    <row r="77">
      <c r="A77" s="6" t="s">
        <v>141</v>
      </c>
      <c r="B77" s="8">
        <v>1.28691692E8</v>
      </c>
    </row>
    <row r="78">
      <c r="A78" s="6" t="s">
        <v>220</v>
      </c>
      <c r="B78" s="8">
        <v>4.48897545E8</v>
      </c>
    </row>
    <row r="79">
      <c r="A79" s="6" t="s">
        <v>222</v>
      </c>
      <c r="B79" s="8">
        <v>5583911.0</v>
      </c>
    </row>
    <row r="80">
      <c r="A80" s="6" t="s">
        <v>224</v>
      </c>
      <c r="B80" s="8">
        <v>924145.0</v>
      </c>
    </row>
    <row r="81">
      <c r="A81" s="6" t="s">
        <v>226</v>
      </c>
      <c r="B81" s="8">
        <v>6.8372286E7</v>
      </c>
    </row>
    <row r="82">
      <c r="A82" s="6" t="s">
        <v>228</v>
      </c>
      <c r="B82" s="8">
        <v>54398.0</v>
      </c>
    </row>
    <row r="83">
      <c r="A83" s="6" t="s">
        <v>230</v>
      </c>
      <c r="B83" s="8">
        <v>112630.0</v>
      </c>
    </row>
    <row r="84">
      <c r="A84" s="6" t="s">
        <v>47</v>
      </c>
      <c r="B84" s="8">
        <v>2484789.0</v>
      </c>
    </row>
    <row r="85">
      <c r="A85" s="6" t="s">
        <v>231</v>
      </c>
      <c r="B85" s="8">
        <v>6.8526E7</v>
      </c>
    </row>
    <row r="86">
      <c r="A86" s="6" t="s">
        <v>232</v>
      </c>
      <c r="B86" s="8">
        <v>3715483.0</v>
      </c>
    </row>
    <row r="87">
      <c r="A87" s="6" t="s">
        <v>137</v>
      </c>
      <c r="B87" s="8">
        <v>3.3787914E7</v>
      </c>
    </row>
    <row r="88">
      <c r="A88" s="6" t="s">
        <v>233</v>
      </c>
      <c r="B88" s="8">
        <v>38471.0</v>
      </c>
    </row>
    <row r="89">
      <c r="A89" s="6" t="s">
        <v>125</v>
      </c>
      <c r="B89" s="8">
        <v>1.4405468E7</v>
      </c>
    </row>
    <row r="90">
      <c r="A90" s="6" t="s">
        <v>117</v>
      </c>
      <c r="B90" s="8">
        <v>2697845.0</v>
      </c>
    </row>
    <row r="91">
      <c r="A91" s="6" t="s">
        <v>145</v>
      </c>
      <c r="B91" s="8">
        <v>2153339.0</v>
      </c>
    </row>
    <row r="92">
      <c r="A92" s="6" t="s">
        <v>113</v>
      </c>
      <c r="B92" s="8">
        <v>1847549.0</v>
      </c>
    </row>
    <row r="93">
      <c r="A93" s="6" t="s">
        <v>234</v>
      </c>
      <c r="B93" s="8">
        <v>1.0407351E7</v>
      </c>
    </row>
    <row r="94">
      <c r="A94" s="6" t="s">
        <v>235</v>
      </c>
      <c r="B94" s="8">
        <v>117081.0</v>
      </c>
    </row>
    <row r="95">
      <c r="A95" s="6" t="s">
        <v>236</v>
      </c>
      <c r="B95" s="8">
        <v>56865.0</v>
      </c>
    </row>
    <row r="96">
      <c r="A96" s="6" t="s">
        <v>237</v>
      </c>
      <c r="B96" s="8">
        <v>1.8124838E7</v>
      </c>
    </row>
    <row r="97">
      <c r="A97" s="6" t="s">
        <v>238</v>
      </c>
      <c r="B97" s="8">
        <v>166506.0</v>
      </c>
    </row>
    <row r="98">
      <c r="A98" s="6" t="s">
        <v>239</v>
      </c>
      <c r="B98" s="8">
        <v>826353.0</v>
      </c>
    </row>
    <row r="99">
      <c r="A99" s="6" t="s">
        <v>240</v>
      </c>
      <c r="B99" s="8">
        <v>1.408138595E9</v>
      </c>
    </row>
    <row r="100">
      <c r="A100" s="6" t="s">
        <v>241</v>
      </c>
      <c r="B100" s="8">
        <v>7536100.0</v>
      </c>
    </row>
    <row r="101">
      <c r="A101" s="6" t="s">
        <v>242</v>
      </c>
      <c r="B101" s="8">
        <v>1.0644851E7</v>
      </c>
    </row>
    <row r="102">
      <c r="A102" s="6" t="s">
        <v>243</v>
      </c>
      <c r="B102" s="8">
        <v>9.16223767E8</v>
      </c>
    </row>
    <row r="103">
      <c r="A103" s="6" t="s">
        <v>244</v>
      </c>
      <c r="B103" s="8">
        <v>3859686.0</v>
      </c>
    </row>
    <row r="104">
      <c r="A104" s="6" t="s">
        <v>245</v>
      </c>
      <c r="B104" s="8">
        <v>1.1637398E7</v>
      </c>
    </row>
    <row r="105">
      <c r="A105" s="6" t="s">
        <v>246</v>
      </c>
      <c r="B105" s="8">
        <v>9592186.0</v>
      </c>
    </row>
    <row r="106">
      <c r="A106" s="6" t="s">
        <v>247</v>
      </c>
      <c r="B106" s="8">
        <v>4.952209753E9</v>
      </c>
    </row>
    <row r="107">
      <c r="A107" s="6" t="s">
        <v>248</v>
      </c>
      <c r="B107" s="8">
        <v>6.857438587E9</v>
      </c>
    </row>
    <row r="108">
      <c r="A108" s="6" t="s">
        <v>249</v>
      </c>
      <c r="B108" s="8">
        <v>1.905228834E9</v>
      </c>
    </row>
    <row r="109">
      <c r="A109" s="6" t="s">
        <v>251</v>
      </c>
      <c r="B109" s="8">
        <v>6.64395892E8</v>
      </c>
    </row>
    <row r="110">
      <c r="A110" s="6" t="s">
        <v>252</v>
      </c>
      <c r="B110" s="8">
        <v>2.81190067E8</v>
      </c>
    </row>
    <row r="111">
      <c r="A111" s="6" t="s">
        <v>253</v>
      </c>
      <c r="B111" s="8">
        <v>1.240832942E9</v>
      </c>
    </row>
    <row r="112">
      <c r="A112" s="6" t="s">
        <v>254</v>
      </c>
      <c r="B112" s="8">
        <v>84165.0</v>
      </c>
    </row>
    <row r="113">
      <c r="A113" s="6" t="s">
        <v>255</v>
      </c>
      <c r="B113" s="8">
        <v>1.438069596E9</v>
      </c>
    </row>
    <row r="114">
      <c r="A114" s="6" t="s">
        <v>256</v>
      </c>
      <c r="B114" s="6"/>
    </row>
    <row r="115">
      <c r="A115" s="6" t="s">
        <v>257</v>
      </c>
      <c r="B115" s="8">
        <v>5311538.0</v>
      </c>
    </row>
    <row r="116">
      <c r="A116" s="6" t="s">
        <v>258</v>
      </c>
      <c r="B116" s="8">
        <v>9.0608707E7</v>
      </c>
    </row>
    <row r="117">
      <c r="A117" s="6" t="s">
        <v>259</v>
      </c>
      <c r="B117" s="8">
        <v>4.5074049E7</v>
      </c>
    </row>
    <row r="118">
      <c r="A118" s="6" t="s">
        <v>260</v>
      </c>
      <c r="B118" s="8">
        <v>385663.0</v>
      </c>
    </row>
    <row r="119">
      <c r="A119" s="6" t="s">
        <v>261</v>
      </c>
      <c r="B119" s="8">
        <v>9849000.0</v>
      </c>
    </row>
    <row r="120">
      <c r="A120" s="6" t="s">
        <v>262</v>
      </c>
      <c r="B120" s="8">
        <v>5.8984216E7</v>
      </c>
    </row>
    <row r="121">
      <c r="A121" s="6" t="s">
        <v>263</v>
      </c>
      <c r="B121" s="8">
        <v>2839786.0</v>
      </c>
    </row>
    <row r="122">
      <c r="A122" s="6" t="s">
        <v>264</v>
      </c>
      <c r="B122" s="8">
        <v>1.1439213E7</v>
      </c>
    </row>
    <row r="123">
      <c r="A123" s="6" t="s">
        <v>266</v>
      </c>
      <c r="B123" s="8">
        <v>1.2451665E8</v>
      </c>
    </row>
    <row r="124">
      <c r="A124" s="6" t="s">
        <v>267</v>
      </c>
      <c r="B124" s="8">
        <v>2.0330104E7</v>
      </c>
    </row>
    <row r="125">
      <c r="A125" s="6" t="s">
        <v>35</v>
      </c>
      <c r="B125" s="8">
        <v>5.5339003E7</v>
      </c>
    </row>
    <row r="126">
      <c r="A126" s="6" t="s">
        <v>268</v>
      </c>
      <c r="B126" s="8">
        <v>7099750.0</v>
      </c>
    </row>
    <row r="127">
      <c r="A127" s="6" t="s">
        <v>269</v>
      </c>
      <c r="B127" s="8">
        <v>1.742388E7</v>
      </c>
    </row>
    <row r="128">
      <c r="A128" s="6" t="s">
        <v>270</v>
      </c>
      <c r="B128" s="8">
        <v>132530.0</v>
      </c>
    </row>
    <row r="129">
      <c r="A129" s="6" t="s">
        <v>271</v>
      </c>
      <c r="B129" s="8">
        <v>46758.0</v>
      </c>
    </row>
    <row r="130">
      <c r="A130" s="6" t="s">
        <v>272</v>
      </c>
      <c r="B130" s="8">
        <v>5.1712619E7</v>
      </c>
    </row>
    <row r="131">
      <c r="A131" s="6" t="s">
        <v>273</v>
      </c>
      <c r="B131" s="8">
        <v>4853420.0</v>
      </c>
    </row>
    <row r="132">
      <c r="A132" s="6" t="s">
        <v>274</v>
      </c>
      <c r="B132" s="8">
        <v>6.18190397E8</v>
      </c>
    </row>
    <row r="133">
      <c r="A133" s="6" t="s">
        <v>275</v>
      </c>
      <c r="B133" s="8">
        <v>7664993.0</v>
      </c>
    </row>
    <row r="134">
      <c r="A134" s="6" t="s">
        <v>276</v>
      </c>
      <c r="B134" s="8">
        <v>5773493.0</v>
      </c>
    </row>
    <row r="135">
      <c r="A135" s="6" t="s">
        <v>95</v>
      </c>
      <c r="B135" s="8">
        <v>5493031.0</v>
      </c>
    </row>
    <row r="136">
      <c r="A136" s="6" t="s">
        <v>277</v>
      </c>
      <c r="B136" s="8">
        <v>7305659.0</v>
      </c>
    </row>
    <row r="137">
      <c r="A137" s="6" t="s">
        <v>278</v>
      </c>
      <c r="B137" s="8">
        <v>179285.0</v>
      </c>
    </row>
    <row r="138">
      <c r="A138" s="6" t="s">
        <v>279</v>
      </c>
      <c r="B138" s="8">
        <v>6.57616519E8</v>
      </c>
    </row>
    <row r="139">
      <c r="A139" s="6" t="s">
        <v>280</v>
      </c>
      <c r="B139" s="8">
        <v>1.159744187E9</v>
      </c>
    </row>
    <row r="140">
      <c r="A140" s="6" t="s">
        <v>281</v>
      </c>
      <c r="B140" s="8">
        <v>7.27162058E8</v>
      </c>
    </row>
    <row r="141">
      <c r="A141" s="6" t="s">
        <v>282</v>
      </c>
      <c r="B141" s="8">
        <v>39846.0</v>
      </c>
    </row>
    <row r="142">
      <c r="A142" s="6" t="s">
        <v>283</v>
      </c>
      <c r="B142" s="8">
        <v>2.2037E7</v>
      </c>
    </row>
    <row r="143">
      <c r="A143" s="6" t="s">
        <v>284</v>
      </c>
      <c r="B143" s="8">
        <v>2.869695351E9</v>
      </c>
    </row>
    <row r="144">
      <c r="A144" s="6" t="s">
        <v>285</v>
      </c>
      <c r="B144" s="8">
        <v>6.654784822E9</v>
      </c>
    </row>
    <row r="145">
      <c r="A145" s="6" t="s">
        <v>133</v>
      </c>
      <c r="B145" s="8">
        <v>2311472.0</v>
      </c>
    </row>
    <row r="146">
      <c r="A146" s="6" t="s">
        <v>286</v>
      </c>
      <c r="B146" s="8">
        <v>2.326294294E9</v>
      </c>
    </row>
    <row r="147">
      <c r="A147" s="6" t="s">
        <v>287</v>
      </c>
      <c r="B147" s="8">
        <v>2871585.0</v>
      </c>
    </row>
    <row r="148">
      <c r="A148" s="6" t="s">
        <v>288</v>
      </c>
      <c r="B148" s="8">
        <v>666430.0</v>
      </c>
    </row>
    <row r="149">
      <c r="A149" s="6" t="s">
        <v>289</v>
      </c>
      <c r="B149" s="8">
        <v>1883710.0</v>
      </c>
    </row>
    <row r="150">
      <c r="A150" s="6" t="s">
        <v>290</v>
      </c>
      <c r="B150" s="8">
        <v>678800.0</v>
      </c>
    </row>
    <row r="151">
      <c r="A151" s="6" t="s">
        <v>291</v>
      </c>
      <c r="B151" s="8">
        <v>27515.0</v>
      </c>
    </row>
    <row r="152">
      <c r="A152" s="6" t="s">
        <v>292</v>
      </c>
      <c r="B152" s="8">
        <v>3.7712505E7</v>
      </c>
    </row>
    <row r="153">
      <c r="A153" s="6" t="s">
        <v>293</v>
      </c>
      <c r="B153" s="8">
        <v>38956.0</v>
      </c>
    </row>
    <row r="154">
      <c r="A154" s="6" t="s">
        <v>294</v>
      </c>
      <c r="B154" s="8">
        <v>2457783.0</v>
      </c>
    </row>
    <row r="155">
      <c r="A155" s="6" t="s">
        <v>2</v>
      </c>
      <c r="B155" s="8">
        <v>3.1195932E7</v>
      </c>
    </row>
    <row r="156">
      <c r="A156" s="6" t="s">
        <v>296</v>
      </c>
      <c r="B156" s="8">
        <v>525994.0</v>
      </c>
    </row>
    <row r="157">
      <c r="A157" s="6" t="s">
        <v>297</v>
      </c>
      <c r="B157" s="8">
        <v>7.97801454E8</v>
      </c>
    </row>
    <row r="158">
      <c r="A158" s="6" t="s">
        <v>298</v>
      </c>
      <c r="B158" s="8">
        <v>1.29739759E8</v>
      </c>
    </row>
    <row r="159">
      <c r="A159" s="6" t="s">
        <v>299</v>
      </c>
      <c r="B159" s="8">
        <v>38827.0</v>
      </c>
    </row>
    <row r="160">
      <c r="A160" s="6" t="s">
        <v>300</v>
      </c>
      <c r="B160" s="8">
        <v>5.927622764E9</v>
      </c>
    </row>
    <row r="161">
      <c r="A161" s="6" t="s">
        <v>301</v>
      </c>
      <c r="B161" s="8">
        <v>1827816.0</v>
      </c>
    </row>
    <row r="162">
      <c r="A162" s="6" t="s">
        <v>25</v>
      </c>
      <c r="B162" s="8">
        <v>2.3769127E7</v>
      </c>
    </row>
    <row r="163">
      <c r="A163" s="6" t="s">
        <v>302</v>
      </c>
      <c r="B163" s="8">
        <v>552747.0</v>
      </c>
    </row>
    <row r="164">
      <c r="A164" s="6" t="s">
        <v>303</v>
      </c>
      <c r="B164" s="8">
        <v>5.4133798E7</v>
      </c>
    </row>
    <row r="165">
      <c r="A165" s="6" t="s">
        <v>304</v>
      </c>
      <c r="B165" s="8">
        <v>7.29077445E8</v>
      </c>
    </row>
    <row r="166">
      <c r="A166" s="6" t="s">
        <v>305</v>
      </c>
      <c r="B166" s="8">
        <v>623529.0</v>
      </c>
    </row>
    <row r="167">
      <c r="A167" s="6" t="s">
        <v>306</v>
      </c>
      <c r="B167" s="8">
        <v>3481145.0</v>
      </c>
    </row>
    <row r="168">
      <c r="A168" s="6" t="s">
        <v>307</v>
      </c>
      <c r="B168" s="8">
        <v>45143.0</v>
      </c>
    </row>
    <row r="169">
      <c r="A169" s="6" t="s">
        <v>55</v>
      </c>
      <c r="B169" s="8">
        <v>3.363516E7</v>
      </c>
    </row>
    <row r="170">
      <c r="A170" s="6" t="s">
        <v>177</v>
      </c>
      <c r="B170" s="8">
        <v>5022441.0</v>
      </c>
    </row>
    <row r="171">
      <c r="A171" s="6" t="s">
        <v>31</v>
      </c>
      <c r="B171" s="8">
        <v>1248647.0</v>
      </c>
    </row>
    <row r="172">
      <c r="A172" s="6" t="s">
        <v>43</v>
      </c>
      <c r="B172" s="8">
        <v>2.1104482E7</v>
      </c>
    </row>
    <row r="173">
      <c r="A173" s="6" t="s">
        <v>308</v>
      </c>
      <c r="B173" s="8">
        <v>3.5126298E7</v>
      </c>
    </row>
    <row r="174">
      <c r="A174" s="6" t="s">
        <v>309</v>
      </c>
      <c r="B174" s="8">
        <v>3.76868838E8</v>
      </c>
    </row>
    <row r="175">
      <c r="A175" s="6" t="s">
        <v>73</v>
      </c>
      <c r="B175" s="8">
        <v>2963095.0</v>
      </c>
    </row>
    <row r="176">
      <c r="A176" s="6" t="s">
        <v>310</v>
      </c>
      <c r="B176" s="8">
        <v>289870.0</v>
      </c>
    </row>
    <row r="177">
      <c r="A177" s="6" t="s">
        <v>157</v>
      </c>
      <c r="B177" s="8">
        <v>2.6159867E7</v>
      </c>
    </row>
    <row r="178">
      <c r="A178" s="6" t="s">
        <v>99</v>
      </c>
      <c r="B178" s="8">
        <v>2.27882945E8</v>
      </c>
    </row>
    <row r="179">
      <c r="A179" s="6" t="s">
        <v>311</v>
      </c>
      <c r="B179" s="8">
        <v>6823613.0</v>
      </c>
    </row>
    <row r="180">
      <c r="A180" s="6" t="s">
        <v>312</v>
      </c>
      <c r="B180" s="8">
        <v>1.7877117E7</v>
      </c>
    </row>
    <row r="181">
      <c r="A181" s="6" t="s">
        <v>313</v>
      </c>
      <c r="B181" s="8">
        <v>5519601.0</v>
      </c>
    </row>
    <row r="182">
      <c r="A182" s="6" t="s">
        <v>314</v>
      </c>
      <c r="B182" s="8">
        <v>2.9694614E7</v>
      </c>
    </row>
    <row r="183">
      <c r="A183" s="6" t="s">
        <v>315</v>
      </c>
      <c r="B183" s="8">
        <v>11875.0</v>
      </c>
    </row>
    <row r="184">
      <c r="A184" s="6" t="s">
        <v>316</v>
      </c>
      <c r="B184" s="8">
        <v>5200000.0</v>
      </c>
    </row>
    <row r="185">
      <c r="A185" s="6" t="s">
        <v>317</v>
      </c>
      <c r="B185" s="8">
        <v>1.387846131E9</v>
      </c>
    </row>
    <row r="186">
      <c r="A186" s="6" t="s">
        <v>318</v>
      </c>
      <c r="B186" s="8">
        <v>5049269.0</v>
      </c>
    </row>
    <row r="187">
      <c r="A187" s="6" t="s">
        <v>319</v>
      </c>
      <c r="B187" s="8">
        <v>1.2822134E7</v>
      </c>
    </row>
    <row r="188">
      <c r="A188" s="6" t="s">
        <v>320</v>
      </c>
      <c r="B188" s="8">
        <v>2.47504495E8</v>
      </c>
    </row>
    <row r="189">
      <c r="A189" s="6" t="s">
        <v>321</v>
      </c>
      <c r="B189" s="8">
        <v>4458759.0</v>
      </c>
    </row>
    <row r="190">
      <c r="A190" s="6" t="s">
        <v>322</v>
      </c>
      <c r="B190" s="8">
        <v>3.3845617E7</v>
      </c>
    </row>
    <row r="191">
      <c r="A191" s="6" t="s">
        <v>323</v>
      </c>
      <c r="B191" s="8">
        <v>1.14891199E8</v>
      </c>
    </row>
    <row r="192">
      <c r="A192" s="6" t="s">
        <v>324</v>
      </c>
      <c r="B192" s="8">
        <v>17727.0</v>
      </c>
    </row>
    <row r="193">
      <c r="A193" s="6" t="s">
        <v>325</v>
      </c>
      <c r="B193" s="8">
        <v>1.0389635E7</v>
      </c>
    </row>
    <row r="194">
      <c r="A194" s="6" t="s">
        <v>326</v>
      </c>
      <c r="B194" s="8">
        <v>3.6687353E7</v>
      </c>
    </row>
    <row r="195">
      <c r="A195" s="6" t="s">
        <v>327</v>
      </c>
      <c r="B195" s="8">
        <v>1.077143557E9</v>
      </c>
    </row>
    <row r="196">
      <c r="A196" s="6" t="s">
        <v>328</v>
      </c>
      <c r="B196" s="8">
        <v>3203794.0</v>
      </c>
    </row>
    <row r="197">
      <c r="A197" s="6" t="s">
        <v>329</v>
      </c>
      <c r="B197" s="8">
        <v>2.6418204E7</v>
      </c>
    </row>
    <row r="198">
      <c r="A198" s="6" t="s">
        <v>330</v>
      </c>
      <c r="B198" s="8">
        <v>1.0578174E7</v>
      </c>
    </row>
    <row r="199">
      <c r="A199" s="6" t="s">
        <v>331</v>
      </c>
      <c r="B199" s="8">
        <v>6844146.0</v>
      </c>
    </row>
    <row r="200">
      <c r="A200" s="6" t="s">
        <v>332</v>
      </c>
      <c r="B200" s="8">
        <v>5165775.0</v>
      </c>
    </row>
    <row r="201">
      <c r="A201" s="6" t="s">
        <v>333</v>
      </c>
      <c r="B201" s="8">
        <v>2689224.0</v>
      </c>
    </row>
    <row r="202">
      <c r="A202" s="6" t="s">
        <v>334</v>
      </c>
      <c r="B202" s="8">
        <v>1.121263972E9</v>
      </c>
    </row>
    <row r="203">
      <c r="A203" s="6" t="s">
        <v>335</v>
      </c>
      <c r="B203" s="8">
        <v>281118.0</v>
      </c>
    </row>
    <row r="204">
      <c r="A204" s="6" t="s">
        <v>336</v>
      </c>
      <c r="B204" s="8">
        <v>2656032.0</v>
      </c>
    </row>
    <row r="205">
      <c r="A205" s="6" t="s">
        <v>337</v>
      </c>
      <c r="B205" s="8">
        <v>1.9061062E7</v>
      </c>
    </row>
    <row r="206">
      <c r="A206" s="6" t="s">
        <v>338</v>
      </c>
      <c r="B206" s="8">
        <v>1.4382613E8</v>
      </c>
    </row>
    <row r="207">
      <c r="A207" s="6" t="s">
        <v>129</v>
      </c>
      <c r="B207" s="8">
        <v>1.3954471E7</v>
      </c>
    </row>
    <row r="208">
      <c r="A208" s="6" t="s">
        <v>339</v>
      </c>
      <c r="B208" s="8">
        <v>1.662580579E9</v>
      </c>
    </row>
    <row r="209">
      <c r="A209" s="6" t="s">
        <v>340</v>
      </c>
      <c r="B209" s="8">
        <v>3.3702731E7</v>
      </c>
    </row>
    <row r="210">
      <c r="A210" s="6" t="s">
        <v>161</v>
      </c>
      <c r="B210" s="8">
        <v>5.0042791E7</v>
      </c>
    </row>
    <row r="211">
      <c r="A211" s="6" t="s">
        <v>91</v>
      </c>
      <c r="B211" s="8">
        <v>1.8077573E7</v>
      </c>
    </row>
    <row r="212">
      <c r="A212" s="6" t="s">
        <v>341</v>
      </c>
      <c r="B212" s="8">
        <v>5917648.0</v>
      </c>
    </row>
    <row r="213">
      <c r="A213" s="6" t="s">
        <v>342</v>
      </c>
      <c r="B213" s="8">
        <v>800005.0</v>
      </c>
    </row>
    <row r="214">
      <c r="A214" s="6" t="s">
        <v>165</v>
      </c>
      <c r="B214" s="8">
        <v>8460512.0</v>
      </c>
    </row>
    <row r="215">
      <c r="A215" s="6" t="s">
        <v>343</v>
      </c>
      <c r="B215" s="8">
        <v>6309624.0</v>
      </c>
    </row>
    <row r="216">
      <c r="A216" s="6" t="s">
        <v>344</v>
      </c>
      <c r="B216" s="8">
        <v>33860.0</v>
      </c>
    </row>
    <row r="217">
      <c r="A217" s="6" t="s">
        <v>201</v>
      </c>
      <c r="B217" s="8">
        <v>1.8358615E7</v>
      </c>
    </row>
    <row r="218">
      <c r="A218" s="6" t="s">
        <v>345</v>
      </c>
      <c r="B218" s="8">
        <v>6623183.0</v>
      </c>
    </row>
    <row r="219">
      <c r="A219" s="6" t="s">
        <v>346</v>
      </c>
      <c r="B219" s="8">
        <v>1.258689699E9</v>
      </c>
    </row>
    <row r="220">
      <c r="A220" s="6" t="s">
        <v>29</v>
      </c>
      <c r="B220" s="8">
        <v>1.1483374E7</v>
      </c>
    </row>
    <row r="221">
      <c r="A221" s="6" t="s">
        <v>347</v>
      </c>
      <c r="B221" s="8">
        <v>1.258809472E9</v>
      </c>
    </row>
    <row r="222">
      <c r="A222" s="6" t="s">
        <v>348</v>
      </c>
      <c r="B222" s="8">
        <v>2.0031262E7</v>
      </c>
    </row>
    <row r="223">
      <c r="A223" s="6" t="s">
        <v>109</v>
      </c>
      <c r="B223" s="8">
        <v>230871.0</v>
      </c>
    </row>
    <row r="224">
      <c r="A224" s="6" t="s">
        <v>349</v>
      </c>
      <c r="B224" s="8">
        <v>628886.0</v>
      </c>
    </row>
    <row r="225">
      <c r="A225" s="6" t="s">
        <v>350</v>
      </c>
      <c r="B225" s="8">
        <v>5426740.0</v>
      </c>
    </row>
    <row r="226">
      <c r="A226" s="6" t="s">
        <v>351</v>
      </c>
      <c r="B226" s="8">
        <v>2120461.0</v>
      </c>
    </row>
    <row r="227">
      <c r="A227" s="6" t="s">
        <v>352</v>
      </c>
      <c r="B227" s="8">
        <v>1.0536632E7</v>
      </c>
    </row>
    <row r="228">
      <c r="A228" s="6" t="s">
        <v>77</v>
      </c>
      <c r="B228" s="8">
        <v>1230506.0</v>
      </c>
    </row>
    <row r="229">
      <c r="A229" s="6" t="s">
        <v>353</v>
      </c>
      <c r="B229" s="8">
        <v>42749.0</v>
      </c>
    </row>
    <row r="230">
      <c r="A230" s="6" t="s">
        <v>121</v>
      </c>
      <c r="B230" s="8">
        <v>119773.0</v>
      </c>
    </row>
    <row r="231">
      <c r="A231" s="6" t="s">
        <v>354</v>
      </c>
      <c r="B231" s="8">
        <v>2.3594623E7</v>
      </c>
    </row>
    <row r="232">
      <c r="A232" s="6" t="s">
        <v>355</v>
      </c>
      <c r="B232" s="8">
        <v>46198.0</v>
      </c>
    </row>
    <row r="233">
      <c r="A233" s="6" t="s">
        <v>17</v>
      </c>
      <c r="B233" s="8">
        <v>1.9319064E7</v>
      </c>
    </row>
    <row r="234">
      <c r="A234" s="6" t="s">
        <v>356</v>
      </c>
      <c r="B234" s="8">
        <v>2.111139152E9</v>
      </c>
    </row>
    <row r="235">
      <c r="A235" s="6" t="s">
        <v>357</v>
      </c>
      <c r="B235" s="8">
        <v>4.58599775E8</v>
      </c>
    </row>
    <row r="236">
      <c r="A236" s="6" t="s">
        <v>171</v>
      </c>
      <c r="B236" s="8">
        <v>8223850.0</v>
      </c>
    </row>
    <row r="237">
      <c r="A237" s="6" t="s">
        <v>358</v>
      </c>
      <c r="B237" s="8">
        <v>7.1702435E7</v>
      </c>
    </row>
    <row r="238">
      <c r="A238" s="6" t="s">
        <v>359</v>
      </c>
      <c r="B238" s="8">
        <v>1.0389799E7</v>
      </c>
    </row>
    <row r="239">
      <c r="A239" s="6" t="s">
        <v>360</v>
      </c>
      <c r="B239" s="8">
        <v>7364438.0</v>
      </c>
    </row>
    <row r="240">
      <c r="A240" s="6" t="s">
        <v>361</v>
      </c>
      <c r="B240" s="8">
        <v>6.42397939E8</v>
      </c>
    </row>
    <row r="241">
      <c r="A241" s="6" t="s">
        <v>362</v>
      </c>
      <c r="B241" s="8">
        <v>1384286.0</v>
      </c>
    </row>
    <row r="242">
      <c r="A242" s="6" t="s">
        <v>363</v>
      </c>
      <c r="B242" s="8">
        <v>7.2391167E8</v>
      </c>
    </row>
    <row r="243">
      <c r="A243" s="6" t="s">
        <v>364</v>
      </c>
      <c r="B243" s="8">
        <v>104597.0</v>
      </c>
    </row>
    <row r="244">
      <c r="A244" s="6" t="s">
        <v>365</v>
      </c>
      <c r="B244" s="8">
        <v>1.662580579E9</v>
      </c>
    </row>
    <row r="245">
      <c r="A245" s="6" t="s">
        <v>366</v>
      </c>
      <c r="B245" s="8">
        <v>1.258809472E9</v>
      </c>
    </row>
    <row r="246">
      <c r="A246" s="6" t="s">
        <v>367</v>
      </c>
      <c r="B246" s="8">
        <v>1367510.0</v>
      </c>
    </row>
    <row r="247">
      <c r="A247" s="6" t="s">
        <v>368</v>
      </c>
      <c r="B247" s="8">
        <v>1.2200431E7</v>
      </c>
    </row>
    <row r="248">
      <c r="A248" s="6" t="s">
        <v>369</v>
      </c>
      <c r="B248" s="8">
        <v>8.5325965E7</v>
      </c>
    </row>
    <row r="249">
      <c r="A249" s="6" t="s">
        <v>370</v>
      </c>
      <c r="B249" s="8">
        <v>9816.0</v>
      </c>
    </row>
    <row r="250">
      <c r="A250" s="6" t="s">
        <v>39</v>
      </c>
      <c r="B250" s="8">
        <v>6.6617606E7</v>
      </c>
    </row>
    <row r="251">
      <c r="A251" s="6" t="s">
        <v>372</v>
      </c>
      <c r="B251" s="8">
        <v>4.8656601E7</v>
      </c>
    </row>
    <row r="252">
      <c r="A252" s="6" t="s">
        <v>373</v>
      </c>
      <c r="B252" s="8">
        <v>3.7732836E7</v>
      </c>
    </row>
    <row r="253">
      <c r="A253" s="6" t="s">
        <v>374</v>
      </c>
      <c r="B253" s="8">
        <v>3.057927413E9</v>
      </c>
    </row>
    <row r="254">
      <c r="A254" s="6" t="s">
        <v>375</v>
      </c>
      <c r="B254" s="8">
        <v>3388081.0</v>
      </c>
    </row>
    <row r="255">
      <c r="A255" s="6" t="s">
        <v>376</v>
      </c>
      <c r="B255" s="8">
        <v>3.36755052E8</v>
      </c>
    </row>
    <row r="256">
      <c r="A256" s="6" t="s">
        <v>377</v>
      </c>
      <c r="B256" s="8">
        <v>3.5652307E7</v>
      </c>
    </row>
    <row r="257">
      <c r="A257" s="6" t="s">
        <v>378</v>
      </c>
      <c r="B257" s="8">
        <v>101323.0</v>
      </c>
    </row>
    <row r="258">
      <c r="A258" s="6" t="s">
        <v>379</v>
      </c>
      <c r="B258" s="8">
        <v>2.8300854E7</v>
      </c>
    </row>
    <row r="259">
      <c r="A259" s="6" t="s">
        <v>380</v>
      </c>
      <c r="B259" s="8">
        <v>38985.0</v>
      </c>
    </row>
    <row r="260">
      <c r="A260" s="6" t="s">
        <v>381</v>
      </c>
      <c r="B260" s="8">
        <v>104917.0</v>
      </c>
    </row>
    <row r="261">
      <c r="A261" s="6" t="s">
        <v>382</v>
      </c>
      <c r="B261" s="8">
        <v>1.00352192E8</v>
      </c>
    </row>
    <row r="262">
      <c r="A262" s="6" t="s">
        <v>383</v>
      </c>
      <c r="B262" s="8">
        <v>320409.0</v>
      </c>
    </row>
    <row r="263">
      <c r="A263" s="6" t="s">
        <v>384</v>
      </c>
      <c r="B263" s="8">
        <v>8.062923417E9</v>
      </c>
    </row>
    <row r="264">
      <c r="A264" s="6" t="s">
        <v>386</v>
      </c>
      <c r="B264" s="8">
        <v>216663.0</v>
      </c>
    </row>
    <row r="265">
      <c r="A265" s="6" t="s">
        <v>387</v>
      </c>
      <c r="B265" s="8">
        <v>1682668.0</v>
      </c>
    </row>
    <row r="266">
      <c r="A266" s="6" t="s">
        <v>388</v>
      </c>
      <c r="B266" s="8">
        <v>3.9390799E7</v>
      </c>
    </row>
    <row r="267">
      <c r="A267" s="6" t="s">
        <v>389</v>
      </c>
      <c r="B267" s="8">
        <v>6.3212384E7</v>
      </c>
    </row>
    <row r="268">
      <c r="A268" s="6" t="s">
        <v>390</v>
      </c>
      <c r="B268" s="8">
        <v>2.0723965E7</v>
      </c>
    </row>
    <row r="269">
      <c r="A269" s="6" t="s">
        <v>391</v>
      </c>
      <c r="B269" s="8">
        <v>1.6340822E7</v>
      </c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  <row r="986">
      <c r="A986" s="6"/>
      <c r="B986" s="6"/>
    </row>
    <row r="987">
      <c r="A987" s="6"/>
      <c r="B987" s="6"/>
    </row>
    <row r="988">
      <c r="A988" s="6"/>
      <c r="B988" s="6"/>
    </row>
    <row r="989">
      <c r="A989" s="6"/>
      <c r="B989" s="6"/>
    </row>
    <row r="990">
      <c r="A990" s="6"/>
      <c r="B990" s="6"/>
    </row>
    <row r="991">
      <c r="A991" s="6"/>
      <c r="B991" s="6"/>
    </row>
    <row r="992">
      <c r="A992" s="6"/>
      <c r="B992" s="6"/>
    </row>
    <row r="993">
      <c r="A993" s="6"/>
      <c r="B993" s="6"/>
    </row>
    <row r="994">
      <c r="A994" s="6"/>
      <c r="B994" s="6"/>
    </row>
    <row r="995">
      <c r="A995" s="6"/>
      <c r="B995" s="6"/>
    </row>
    <row r="996">
      <c r="A996" s="6"/>
      <c r="B996" s="6"/>
    </row>
    <row r="997">
      <c r="A997" s="6"/>
      <c r="B997" s="6"/>
    </row>
    <row r="998">
      <c r="A998" s="6"/>
      <c r="B998" s="6"/>
    </row>
    <row r="999">
      <c r="A999" s="6"/>
      <c r="B999" s="6"/>
    </row>
    <row r="1000">
      <c r="A1000" s="6"/>
      <c r="B1000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16.75"/>
  </cols>
  <sheetData>
    <row r="1">
      <c r="A1" s="9" t="s">
        <v>9</v>
      </c>
      <c r="B1" s="9" t="s">
        <v>12</v>
      </c>
      <c r="C1" s="9" t="s">
        <v>437</v>
      </c>
    </row>
    <row r="2">
      <c r="A2" s="9" t="s">
        <v>15</v>
      </c>
      <c r="B2" s="9" t="s">
        <v>433</v>
      </c>
      <c r="C2" s="9" t="s">
        <v>396</v>
      </c>
    </row>
    <row r="3" hidden="1">
      <c r="A3" s="9" t="s">
        <v>19</v>
      </c>
      <c r="B3" s="9"/>
      <c r="C3" s="9"/>
    </row>
    <row r="4">
      <c r="A4" s="9" t="s">
        <v>23</v>
      </c>
      <c r="B4" s="9" t="s">
        <v>438</v>
      </c>
      <c r="C4" s="9" t="s">
        <v>435</v>
      </c>
    </row>
    <row r="5" hidden="1">
      <c r="A5" s="9" t="s">
        <v>27</v>
      </c>
      <c r="B5" s="9"/>
      <c r="C5" s="9"/>
    </row>
    <row r="6">
      <c r="A6" s="9" t="s">
        <v>33</v>
      </c>
      <c r="B6" s="9" t="s">
        <v>6</v>
      </c>
      <c r="C6" s="9" t="s">
        <v>439</v>
      </c>
    </row>
    <row r="7">
      <c r="A7" s="9" t="s">
        <v>37</v>
      </c>
      <c r="B7" s="9" t="s">
        <v>206</v>
      </c>
      <c r="C7" s="9" t="s">
        <v>440</v>
      </c>
    </row>
    <row r="8">
      <c r="A8" s="9" t="s">
        <v>41</v>
      </c>
      <c r="B8" s="9" t="s">
        <v>206</v>
      </c>
      <c r="C8" s="9" t="s">
        <v>396</v>
      </c>
    </row>
    <row r="9" hidden="1">
      <c r="A9" s="9" t="s">
        <v>45</v>
      </c>
      <c r="B9" s="9"/>
      <c r="C9" s="9"/>
    </row>
    <row r="10">
      <c r="A10" s="9" t="s">
        <v>49</v>
      </c>
      <c r="B10" s="9" t="s">
        <v>438</v>
      </c>
      <c r="C10" s="9" t="s">
        <v>396</v>
      </c>
    </row>
    <row r="11">
      <c r="A11" s="9" t="s">
        <v>51</v>
      </c>
      <c r="B11" s="9" t="s">
        <v>433</v>
      </c>
      <c r="C11" s="9" t="s">
        <v>440</v>
      </c>
    </row>
    <row r="12">
      <c r="A12" s="9" t="s">
        <v>53</v>
      </c>
      <c r="B12" s="9" t="s">
        <v>206</v>
      </c>
      <c r="C12" s="9" t="s">
        <v>440</v>
      </c>
    </row>
    <row r="13">
      <c r="A13" s="9" t="s">
        <v>57</v>
      </c>
      <c r="B13" s="9" t="s">
        <v>202</v>
      </c>
      <c r="C13" s="9" t="s">
        <v>396</v>
      </c>
    </row>
    <row r="14">
      <c r="A14" s="9" t="s">
        <v>59</v>
      </c>
      <c r="B14" s="9" t="s">
        <v>433</v>
      </c>
      <c r="C14" s="9" t="s">
        <v>396</v>
      </c>
    </row>
    <row r="15">
      <c r="A15" s="9" t="s">
        <v>63</v>
      </c>
      <c r="B15" s="9" t="s">
        <v>202</v>
      </c>
      <c r="C15" s="9" t="s">
        <v>396</v>
      </c>
    </row>
    <row r="16">
      <c r="A16" s="9" t="s">
        <v>65</v>
      </c>
      <c r="B16" s="9" t="s">
        <v>206</v>
      </c>
      <c r="C16" s="9" t="s">
        <v>396</v>
      </c>
    </row>
    <row r="17">
      <c r="A17" s="9" t="s">
        <v>69</v>
      </c>
      <c r="B17" s="9" t="s">
        <v>206</v>
      </c>
      <c r="C17" s="9" t="s">
        <v>440</v>
      </c>
    </row>
    <row r="18">
      <c r="A18" s="9" t="s">
        <v>71</v>
      </c>
      <c r="B18" s="9" t="s">
        <v>6</v>
      </c>
      <c r="C18" s="9" t="s">
        <v>435</v>
      </c>
    </row>
    <row r="19">
      <c r="A19" s="9" t="s">
        <v>75</v>
      </c>
      <c r="B19" s="9" t="s">
        <v>206</v>
      </c>
      <c r="C19" s="9" t="s">
        <v>396</v>
      </c>
    </row>
    <row r="20">
      <c r="A20" s="9" t="s">
        <v>79</v>
      </c>
      <c r="B20" s="9" t="s">
        <v>6</v>
      </c>
      <c r="C20" s="9" t="s">
        <v>439</v>
      </c>
    </row>
    <row r="21">
      <c r="A21" s="9" t="s">
        <v>67</v>
      </c>
      <c r="B21" s="9" t="s">
        <v>6</v>
      </c>
      <c r="C21" s="9" t="s">
        <v>435</v>
      </c>
    </row>
    <row r="22">
      <c r="A22" s="9" t="s">
        <v>89</v>
      </c>
      <c r="B22" s="9" t="s">
        <v>442</v>
      </c>
      <c r="C22" s="9" t="s">
        <v>439</v>
      </c>
    </row>
    <row r="23">
      <c r="A23" s="9" t="s">
        <v>93</v>
      </c>
      <c r="B23" s="9" t="s">
        <v>206</v>
      </c>
      <c r="C23" s="9" t="s">
        <v>396</v>
      </c>
    </row>
    <row r="24">
      <c r="A24" s="9" t="s">
        <v>97</v>
      </c>
      <c r="B24" s="9" t="s">
        <v>438</v>
      </c>
      <c r="C24" s="9" t="s">
        <v>396</v>
      </c>
    </row>
    <row r="25">
      <c r="A25" s="9" t="s">
        <v>101</v>
      </c>
      <c r="B25" s="9" t="s">
        <v>433</v>
      </c>
      <c r="C25" s="9" t="s">
        <v>396</v>
      </c>
    </row>
    <row r="26">
      <c r="A26" s="9" t="s">
        <v>103</v>
      </c>
      <c r="B26" s="9" t="s">
        <v>206</v>
      </c>
      <c r="C26" s="9" t="s">
        <v>440</v>
      </c>
    </row>
    <row r="27">
      <c r="A27" s="9" t="s">
        <v>107</v>
      </c>
      <c r="B27" s="9" t="s">
        <v>206</v>
      </c>
      <c r="C27" s="9" t="s">
        <v>440</v>
      </c>
    </row>
    <row r="28">
      <c r="A28" s="9" t="s">
        <v>111</v>
      </c>
      <c r="B28" s="9" t="s">
        <v>433</v>
      </c>
      <c r="C28" s="9" t="s">
        <v>440</v>
      </c>
    </row>
    <row r="29">
      <c r="A29" s="9" t="s">
        <v>115</v>
      </c>
      <c r="B29" s="9" t="s">
        <v>444</v>
      </c>
      <c r="C29" s="9" t="s">
        <v>396</v>
      </c>
    </row>
    <row r="30">
      <c r="A30" s="9" t="s">
        <v>119</v>
      </c>
      <c r="B30" s="9" t="s">
        <v>433</v>
      </c>
      <c r="C30" s="9" t="s">
        <v>439</v>
      </c>
    </row>
    <row r="31">
      <c r="A31" s="9" t="s">
        <v>123</v>
      </c>
      <c r="B31" s="9" t="s">
        <v>433</v>
      </c>
      <c r="C31" s="9" t="s">
        <v>440</v>
      </c>
    </row>
    <row r="32">
      <c r="A32" s="9" t="s">
        <v>127</v>
      </c>
      <c r="B32" s="9" t="s">
        <v>433</v>
      </c>
      <c r="C32" s="9" t="s">
        <v>396</v>
      </c>
    </row>
    <row r="33">
      <c r="A33" s="9" t="s">
        <v>131</v>
      </c>
      <c r="B33" s="9" t="s">
        <v>202</v>
      </c>
      <c r="C33" s="9" t="s">
        <v>396</v>
      </c>
    </row>
    <row r="34">
      <c r="A34" s="9" t="s">
        <v>135</v>
      </c>
      <c r="B34" s="9" t="s">
        <v>442</v>
      </c>
      <c r="C34" s="9" t="s">
        <v>439</v>
      </c>
    </row>
    <row r="35">
      <c r="A35" s="9" t="s">
        <v>139</v>
      </c>
      <c r="B35" s="9" t="s">
        <v>6</v>
      </c>
      <c r="C35" s="9" t="s">
        <v>440</v>
      </c>
    </row>
    <row r="36">
      <c r="A36" s="9" t="s">
        <v>81</v>
      </c>
      <c r="B36" s="9" t="s">
        <v>6</v>
      </c>
      <c r="C36" s="9" t="s">
        <v>435</v>
      </c>
    </row>
    <row r="37">
      <c r="A37" s="9" t="s">
        <v>147</v>
      </c>
      <c r="B37" s="9" t="s">
        <v>444</v>
      </c>
      <c r="C37" s="9" t="s">
        <v>396</v>
      </c>
    </row>
    <row r="38" hidden="1">
      <c r="A38" s="9" t="s">
        <v>149</v>
      </c>
      <c r="B38" s="9"/>
      <c r="C38" s="9"/>
    </row>
    <row r="39">
      <c r="A39" s="9" t="s">
        <v>151</v>
      </c>
      <c r="B39" s="9" t="s">
        <v>206</v>
      </c>
      <c r="C39" s="9" t="s">
        <v>396</v>
      </c>
    </row>
    <row r="40">
      <c r="A40" s="9" t="s">
        <v>153</v>
      </c>
      <c r="B40" s="9" t="s">
        <v>206</v>
      </c>
      <c r="C40" s="9" t="s">
        <v>396</v>
      </c>
    </row>
    <row r="41">
      <c r="A41" s="9" t="s">
        <v>155</v>
      </c>
      <c r="B41" s="9" t="s">
        <v>433</v>
      </c>
      <c r="C41" s="9" t="s">
        <v>396</v>
      </c>
    </row>
    <row r="42">
      <c r="A42" s="9" t="s">
        <v>159</v>
      </c>
      <c r="B42" s="9" t="s">
        <v>202</v>
      </c>
      <c r="C42" s="9" t="s">
        <v>440</v>
      </c>
    </row>
    <row r="43">
      <c r="A43" s="9" t="s">
        <v>143</v>
      </c>
      <c r="B43" s="9" t="s">
        <v>6</v>
      </c>
      <c r="C43" s="9" t="s">
        <v>439</v>
      </c>
    </row>
    <row r="44">
      <c r="A44" s="9" t="s">
        <v>105</v>
      </c>
      <c r="B44" s="9" t="s">
        <v>6</v>
      </c>
      <c r="C44" s="9" t="s">
        <v>439</v>
      </c>
    </row>
    <row r="45">
      <c r="A45" s="9" t="s">
        <v>83</v>
      </c>
      <c r="B45" s="9" t="s">
        <v>6</v>
      </c>
      <c r="C45" s="9" t="s">
        <v>435</v>
      </c>
    </row>
    <row r="46">
      <c r="A46" s="9" t="s">
        <v>87</v>
      </c>
      <c r="B46" s="9" t="s">
        <v>6</v>
      </c>
      <c r="C46" s="9" t="s">
        <v>439</v>
      </c>
    </row>
    <row r="47">
      <c r="A47" s="9" t="s">
        <v>163</v>
      </c>
      <c r="B47" s="9" t="s">
        <v>433</v>
      </c>
      <c r="C47" s="9" t="s">
        <v>440</v>
      </c>
    </row>
    <row r="48">
      <c r="A48" s="9" t="s">
        <v>61</v>
      </c>
      <c r="B48" s="9" t="s">
        <v>6</v>
      </c>
      <c r="C48" s="9" t="s">
        <v>439</v>
      </c>
    </row>
    <row r="49">
      <c r="A49" s="9" t="s">
        <v>85</v>
      </c>
      <c r="B49" s="9" t="s">
        <v>6</v>
      </c>
      <c r="C49" s="9" t="s">
        <v>440</v>
      </c>
    </row>
    <row r="50">
      <c r="A50" s="9" t="s">
        <v>167</v>
      </c>
      <c r="B50" s="9" t="s">
        <v>433</v>
      </c>
      <c r="C50" s="9" t="s">
        <v>396</v>
      </c>
    </row>
    <row r="51" hidden="1">
      <c r="A51" s="9" t="s">
        <v>169</v>
      </c>
      <c r="B51" s="9"/>
      <c r="C51" s="9"/>
    </row>
    <row r="52">
      <c r="A52" s="9" t="s">
        <v>173</v>
      </c>
      <c r="B52" s="9" t="s">
        <v>433</v>
      </c>
      <c r="C52" s="9" t="s">
        <v>440</v>
      </c>
    </row>
    <row r="53">
      <c r="A53" s="9" t="s">
        <v>175</v>
      </c>
      <c r="B53" s="9" t="s">
        <v>433</v>
      </c>
      <c r="C53" s="9" t="s">
        <v>396</v>
      </c>
    </row>
    <row r="54">
      <c r="A54" s="9" t="s">
        <v>179</v>
      </c>
      <c r="B54" s="9" t="s">
        <v>433</v>
      </c>
      <c r="C54" s="9" t="s">
        <v>396</v>
      </c>
    </row>
    <row r="55">
      <c r="A55" s="9" t="s">
        <v>181</v>
      </c>
      <c r="B55" s="9" t="s">
        <v>206</v>
      </c>
      <c r="C55" s="9" t="s">
        <v>396</v>
      </c>
    </row>
    <row r="56">
      <c r="A56" s="9" t="s">
        <v>183</v>
      </c>
      <c r="B56" s="9" t="s">
        <v>206</v>
      </c>
      <c r="C56" s="9" t="s">
        <v>396</v>
      </c>
    </row>
    <row r="57">
      <c r="A57" s="9" t="s">
        <v>185</v>
      </c>
      <c r="B57" s="9" t="s">
        <v>206</v>
      </c>
      <c r="C57" s="9" t="s">
        <v>396</v>
      </c>
    </row>
    <row r="58">
      <c r="A58" s="9" t="s">
        <v>187</v>
      </c>
      <c r="B58" s="9" t="s">
        <v>438</v>
      </c>
      <c r="C58" s="9" t="s">
        <v>439</v>
      </c>
    </row>
    <row r="59">
      <c r="A59" s="9" t="s">
        <v>189</v>
      </c>
      <c r="B59" s="9" t="s">
        <v>433</v>
      </c>
      <c r="C59" s="9" t="s">
        <v>440</v>
      </c>
    </row>
    <row r="60">
      <c r="A60" s="9" t="s">
        <v>191</v>
      </c>
      <c r="B60" s="9" t="s">
        <v>206</v>
      </c>
      <c r="C60" s="9" t="s">
        <v>396</v>
      </c>
    </row>
    <row r="61">
      <c r="A61" s="9" t="s">
        <v>193</v>
      </c>
      <c r="B61" s="9" t="s">
        <v>433</v>
      </c>
      <c r="C61" s="9" t="s">
        <v>440</v>
      </c>
    </row>
    <row r="62">
      <c r="A62" s="9" t="s">
        <v>195</v>
      </c>
      <c r="B62" s="9" t="s">
        <v>438</v>
      </c>
      <c r="C62" s="9" t="s">
        <v>440</v>
      </c>
    </row>
    <row r="63" hidden="1">
      <c r="A63" s="9" t="s">
        <v>197</v>
      </c>
      <c r="B63" s="9"/>
      <c r="C63" s="9"/>
    </row>
    <row r="64" hidden="1">
      <c r="A64" s="9" t="s">
        <v>199</v>
      </c>
      <c r="B64" s="9"/>
      <c r="C64" s="9"/>
    </row>
    <row r="65" hidden="1">
      <c r="A65" s="9" t="s">
        <v>203</v>
      </c>
      <c r="B65" s="9"/>
      <c r="C65" s="9"/>
    </row>
    <row r="66" hidden="1">
      <c r="A66" s="9" t="s">
        <v>205</v>
      </c>
      <c r="B66" s="9"/>
      <c r="C66" s="9"/>
    </row>
    <row r="67" hidden="1">
      <c r="A67" s="9" t="s">
        <v>207</v>
      </c>
      <c r="B67" s="9"/>
      <c r="C67" s="9"/>
    </row>
    <row r="68">
      <c r="A68" s="9" t="s">
        <v>209</v>
      </c>
      <c r="B68" s="9" t="s">
        <v>433</v>
      </c>
      <c r="C68" s="9" t="s">
        <v>440</v>
      </c>
    </row>
    <row r="69">
      <c r="A69" s="9" t="s">
        <v>211</v>
      </c>
      <c r="B69" s="9" t="s">
        <v>438</v>
      </c>
      <c r="C69" s="9" t="s">
        <v>439</v>
      </c>
    </row>
    <row r="70" hidden="1">
      <c r="A70" s="9" t="s">
        <v>213</v>
      </c>
      <c r="B70" s="9"/>
      <c r="C70" s="9"/>
    </row>
    <row r="71">
      <c r="A71" s="9" t="s">
        <v>21</v>
      </c>
      <c r="B71" s="9" t="s">
        <v>6</v>
      </c>
      <c r="C71" s="9" t="s">
        <v>435</v>
      </c>
    </row>
    <row r="72">
      <c r="A72" s="9" t="s">
        <v>215</v>
      </c>
      <c r="B72" s="9" t="s">
        <v>206</v>
      </c>
      <c r="C72" s="9" t="s">
        <v>396</v>
      </c>
    </row>
    <row r="73">
      <c r="A73" s="9" t="s">
        <v>217</v>
      </c>
      <c r="B73" s="9" t="s">
        <v>206</v>
      </c>
      <c r="C73" s="9" t="s">
        <v>396</v>
      </c>
    </row>
    <row r="74">
      <c r="A74" s="9" t="s">
        <v>141</v>
      </c>
      <c r="B74" s="9" t="s">
        <v>6</v>
      </c>
      <c r="C74" s="9" t="s">
        <v>435</v>
      </c>
    </row>
    <row r="75" hidden="1">
      <c r="A75" s="9" t="s">
        <v>220</v>
      </c>
      <c r="B75" s="9"/>
      <c r="C75" s="9"/>
    </row>
    <row r="76">
      <c r="A76" s="9" t="s">
        <v>222</v>
      </c>
      <c r="B76" s="9" t="s">
        <v>206</v>
      </c>
      <c r="C76" s="9" t="s">
        <v>396</v>
      </c>
    </row>
    <row r="77">
      <c r="A77" s="9" t="s">
        <v>224</v>
      </c>
      <c r="B77" s="9" t="s">
        <v>202</v>
      </c>
      <c r="C77" s="9" t="s">
        <v>440</v>
      </c>
    </row>
    <row r="78">
      <c r="A78" s="9" t="s">
        <v>226</v>
      </c>
      <c r="B78" s="9" t="s">
        <v>206</v>
      </c>
      <c r="C78" s="9" t="s">
        <v>396</v>
      </c>
    </row>
    <row r="79">
      <c r="A79" s="9" t="s">
        <v>228</v>
      </c>
      <c r="B79" s="9" t="s">
        <v>206</v>
      </c>
      <c r="C79" s="9" t="s">
        <v>396</v>
      </c>
    </row>
    <row r="80">
      <c r="A80" s="9" t="s">
        <v>230</v>
      </c>
      <c r="B80" s="9" t="s">
        <v>202</v>
      </c>
      <c r="C80" s="9" t="s">
        <v>440</v>
      </c>
    </row>
    <row r="81">
      <c r="A81" s="9" t="s">
        <v>47</v>
      </c>
      <c r="B81" s="9" t="s">
        <v>6</v>
      </c>
      <c r="C81" s="9" t="s">
        <v>440</v>
      </c>
    </row>
    <row r="82">
      <c r="A82" s="9" t="s">
        <v>231</v>
      </c>
      <c r="B82" s="9" t="s">
        <v>206</v>
      </c>
      <c r="C82" s="9" t="s">
        <v>396</v>
      </c>
    </row>
    <row r="83">
      <c r="A83" s="9" t="s">
        <v>232</v>
      </c>
      <c r="B83" s="9" t="s">
        <v>206</v>
      </c>
      <c r="C83" s="9" t="s">
        <v>440</v>
      </c>
    </row>
    <row r="84">
      <c r="A84" s="9" t="s">
        <v>137</v>
      </c>
      <c r="B84" s="9" t="s">
        <v>6</v>
      </c>
      <c r="C84" s="9" t="s">
        <v>439</v>
      </c>
    </row>
    <row r="85">
      <c r="A85" s="9" t="s">
        <v>233</v>
      </c>
      <c r="B85" s="9" t="s">
        <v>206</v>
      </c>
      <c r="C85" s="9" t="s">
        <v>396</v>
      </c>
    </row>
    <row r="86">
      <c r="A86" s="9" t="s">
        <v>125</v>
      </c>
      <c r="B86" s="9" t="s">
        <v>6</v>
      </c>
      <c r="C86" s="9" t="s">
        <v>439</v>
      </c>
    </row>
    <row r="87">
      <c r="A87" s="9" t="s">
        <v>117</v>
      </c>
      <c r="B87" s="9" t="s">
        <v>6</v>
      </c>
      <c r="C87" s="9" t="s">
        <v>435</v>
      </c>
    </row>
    <row r="88">
      <c r="A88" s="9" t="s">
        <v>145</v>
      </c>
      <c r="B88" s="9" t="s">
        <v>6</v>
      </c>
      <c r="C88" s="9" t="s">
        <v>435</v>
      </c>
    </row>
    <row r="89">
      <c r="A89" s="9" t="s">
        <v>113</v>
      </c>
      <c r="B89" s="9" t="s">
        <v>6</v>
      </c>
      <c r="C89" s="9" t="s">
        <v>440</v>
      </c>
    </row>
    <row r="90">
      <c r="A90" s="9" t="s">
        <v>234</v>
      </c>
      <c r="B90" s="9" t="s">
        <v>206</v>
      </c>
      <c r="C90" s="9" t="s">
        <v>396</v>
      </c>
    </row>
    <row r="91">
      <c r="A91" s="9" t="s">
        <v>235</v>
      </c>
      <c r="B91" s="9" t="s">
        <v>433</v>
      </c>
      <c r="C91" s="9" t="s">
        <v>440</v>
      </c>
    </row>
    <row r="92">
      <c r="A92" s="9" t="s">
        <v>236</v>
      </c>
      <c r="B92" s="9" t="s">
        <v>206</v>
      </c>
      <c r="C92" s="9" t="s">
        <v>396</v>
      </c>
    </row>
    <row r="93">
      <c r="A93" s="9" t="s">
        <v>237</v>
      </c>
      <c r="B93" s="9" t="s">
        <v>433</v>
      </c>
      <c r="C93" s="9" t="s">
        <v>440</v>
      </c>
    </row>
    <row r="94">
      <c r="A94" s="9" t="s">
        <v>238</v>
      </c>
      <c r="B94" s="9" t="s">
        <v>202</v>
      </c>
      <c r="C94" s="9" t="s">
        <v>396</v>
      </c>
    </row>
    <row r="95">
      <c r="A95" s="9" t="s">
        <v>239</v>
      </c>
      <c r="B95" s="9" t="s">
        <v>433</v>
      </c>
      <c r="C95" s="9" t="s">
        <v>396</v>
      </c>
    </row>
    <row r="96" hidden="1">
      <c r="A96" s="9" t="s">
        <v>240</v>
      </c>
      <c r="B96" s="9"/>
      <c r="C96" s="9"/>
    </row>
    <row r="97">
      <c r="A97" s="9" t="s">
        <v>241</v>
      </c>
      <c r="B97" s="9" t="s">
        <v>202</v>
      </c>
      <c r="C97" s="9" t="s">
        <v>396</v>
      </c>
    </row>
    <row r="98">
      <c r="A98" s="9" t="s">
        <v>242</v>
      </c>
      <c r="B98" s="9" t="s">
        <v>433</v>
      </c>
      <c r="C98" s="9" t="s">
        <v>439</v>
      </c>
    </row>
    <row r="99" hidden="1">
      <c r="A99" s="9" t="s">
        <v>243</v>
      </c>
      <c r="B99" s="9"/>
      <c r="C99" s="9"/>
    </row>
    <row r="100">
      <c r="A100" s="9" t="s">
        <v>244</v>
      </c>
      <c r="B100" s="9" t="s">
        <v>206</v>
      </c>
      <c r="C100" s="9" t="s">
        <v>396</v>
      </c>
    </row>
    <row r="101">
      <c r="A101" s="9" t="s">
        <v>245</v>
      </c>
      <c r="B101" s="9" t="s">
        <v>433</v>
      </c>
      <c r="C101" s="9" t="s">
        <v>439</v>
      </c>
    </row>
    <row r="102">
      <c r="A102" s="9" t="s">
        <v>246</v>
      </c>
      <c r="B102" s="9" t="s">
        <v>206</v>
      </c>
      <c r="C102" s="9" t="s">
        <v>396</v>
      </c>
    </row>
    <row r="103" hidden="1">
      <c r="A103" s="9" t="s">
        <v>247</v>
      </c>
      <c r="B103" s="9"/>
      <c r="C103" s="9"/>
    </row>
    <row r="104" hidden="1">
      <c r="A104" s="9" t="s">
        <v>248</v>
      </c>
      <c r="B104" s="9"/>
      <c r="C104" s="9"/>
    </row>
    <row r="105" hidden="1">
      <c r="A105" s="9" t="s">
        <v>249</v>
      </c>
      <c r="B105" s="9"/>
      <c r="C105" s="9"/>
    </row>
    <row r="106" hidden="1">
      <c r="A106" s="9" t="s">
        <v>251</v>
      </c>
      <c r="B106" s="9"/>
      <c r="C106" s="9"/>
    </row>
    <row r="107">
      <c r="A107" s="9" t="s">
        <v>252</v>
      </c>
      <c r="B107" s="9" t="s">
        <v>202</v>
      </c>
      <c r="C107" s="9" t="s">
        <v>440</v>
      </c>
    </row>
    <row r="108" hidden="1">
      <c r="A108" s="9" t="s">
        <v>253</v>
      </c>
      <c r="B108" s="9"/>
      <c r="C108" s="9"/>
    </row>
    <row r="109">
      <c r="A109" s="9" t="s">
        <v>254</v>
      </c>
      <c r="B109" s="9" t="s">
        <v>206</v>
      </c>
      <c r="C109" s="9" t="s">
        <v>396</v>
      </c>
    </row>
    <row r="110">
      <c r="A110" s="9" t="s">
        <v>255</v>
      </c>
      <c r="B110" s="9" t="s">
        <v>442</v>
      </c>
      <c r="C110" s="9" t="s">
        <v>439</v>
      </c>
    </row>
    <row r="111">
      <c r="A111" s="9" t="s">
        <v>257</v>
      </c>
      <c r="B111" s="9" t="s">
        <v>206</v>
      </c>
      <c r="C111" s="9" t="s">
        <v>396</v>
      </c>
    </row>
    <row r="112">
      <c r="A112" s="9" t="s">
        <v>258</v>
      </c>
      <c r="B112" s="9" t="s">
        <v>438</v>
      </c>
      <c r="C112" s="9" t="s">
        <v>440</v>
      </c>
    </row>
    <row r="113">
      <c r="A113" s="9" t="s">
        <v>259</v>
      </c>
      <c r="B113" s="9" t="s">
        <v>438</v>
      </c>
      <c r="C113" s="9" t="s">
        <v>440</v>
      </c>
    </row>
    <row r="114">
      <c r="A114" s="9" t="s">
        <v>260</v>
      </c>
      <c r="B114" s="9" t="s">
        <v>206</v>
      </c>
      <c r="C114" s="9" t="s">
        <v>396</v>
      </c>
    </row>
    <row r="115">
      <c r="A115" s="9" t="s">
        <v>261</v>
      </c>
      <c r="B115" s="9" t="s">
        <v>438</v>
      </c>
      <c r="C115" s="9" t="s">
        <v>396</v>
      </c>
    </row>
    <row r="116">
      <c r="A116" s="9" t="s">
        <v>262</v>
      </c>
      <c r="B116" s="9" t="s">
        <v>206</v>
      </c>
      <c r="C116" s="9" t="s">
        <v>396</v>
      </c>
    </row>
    <row r="117">
      <c r="A117" s="9" t="s">
        <v>263</v>
      </c>
      <c r="B117" s="9" t="s">
        <v>433</v>
      </c>
      <c r="C117" s="9" t="s">
        <v>440</v>
      </c>
    </row>
    <row r="118">
      <c r="A118" s="9" t="s">
        <v>264</v>
      </c>
      <c r="B118" s="9" t="s">
        <v>438</v>
      </c>
      <c r="C118" s="9" t="s">
        <v>440</v>
      </c>
    </row>
    <row r="119">
      <c r="A119" s="9" t="s">
        <v>266</v>
      </c>
      <c r="B119" s="9" t="s">
        <v>202</v>
      </c>
      <c r="C119" s="9" t="s">
        <v>396</v>
      </c>
    </row>
    <row r="120">
      <c r="A120" s="9" t="s">
        <v>267</v>
      </c>
      <c r="B120" s="9" t="s">
        <v>206</v>
      </c>
      <c r="C120" s="9" t="s">
        <v>440</v>
      </c>
    </row>
    <row r="121">
      <c r="A121" s="9" t="s">
        <v>35</v>
      </c>
      <c r="B121" s="9" t="s">
        <v>6</v>
      </c>
      <c r="C121" s="9" t="s">
        <v>439</v>
      </c>
    </row>
    <row r="122">
      <c r="A122" s="9" t="s">
        <v>268</v>
      </c>
      <c r="B122" s="9" t="s">
        <v>206</v>
      </c>
      <c r="C122" s="9" t="s">
        <v>439</v>
      </c>
    </row>
    <row r="123">
      <c r="A123" s="9" t="s">
        <v>269</v>
      </c>
      <c r="B123" s="9" t="s">
        <v>202</v>
      </c>
      <c r="C123" s="9" t="s">
        <v>439</v>
      </c>
    </row>
    <row r="124">
      <c r="A124" s="9" t="s">
        <v>270</v>
      </c>
      <c r="B124" s="9" t="s">
        <v>202</v>
      </c>
      <c r="C124" s="9" t="s">
        <v>439</v>
      </c>
    </row>
    <row r="125">
      <c r="A125" s="9" t="s">
        <v>271</v>
      </c>
      <c r="B125" s="9" t="s">
        <v>433</v>
      </c>
      <c r="C125" s="9" t="s">
        <v>396</v>
      </c>
    </row>
    <row r="126">
      <c r="A126" s="9" t="s">
        <v>272</v>
      </c>
      <c r="B126" s="9" t="s">
        <v>202</v>
      </c>
      <c r="C126" s="9" t="s">
        <v>396</v>
      </c>
    </row>
    <row r="127">
      <c r="A127" s="9" t="s">
        <v>273</v>
      </c>
      <c r="B127" s="9" t="s">
        <v>438</v>
      </c>
      <c r="C127" s="9" t="s">
        <v>396</v>
      </c>
    </row>
    <row r="128" hidden="1">
      <c r="A128" s="9" t="s">
        <v>274</v>
      </c>
      <c r="B128" s="9"/>
      <c r="C128" s="9"/>
    </row>
    <row r="129">
      <c r="A129" s="9" t="s">
        <v>275</v>
      </c>
      <c r="B129" s="9" t="s">
        <v>202</v>
      </c>
      <c r="C129" s="9" t="s">
        <v>439</v>
      </c>
    </row>
    <row r="130">
      <c r="A130" s="9" t="s">
        <v>276</v>
      </c>
      <c r="B130" s="9" t="s">
        <v>438</v>
      </c>
      <c r="C130" s="9" t="s">
        <v>439</v>
      </c>
    </row>
    <row r="131">
      <c r="A131" s="9" t="s">
        <v>95</v>
      </c>
      <c r="B131" s="9" t="s">
        <v>6</v>
      </c>
      <c r="C131" s="9" t="s">
        <v>435</v>
      </c>
    </row>
    <row r="132">
      <c r="A132" s="9" t="s">
        <v>277</v>
      </c>
      <c r="B132" s="9" t="s">
        <v>438</v>
      </c>
      <c r="C132" s="9" t="s">
        <v>440</v>
      </c>
    </row>
    <row r="133">
      <c r="A133" s="9" t="s">
        <v>278</v>
      </c>
      <c r="B133" s="9" t="s">
        <v>433</v>
      </c>
      <c r="C133" s="9" t="s">
        <v>440</v>
      </c>
    </row>
    <row r="134" hidden="1">
      <c r="A134" s="9" t="s">
        <v>279</v>
      </c>
      <c r="B134" s="9"/>
      <c r="C134" s="9"/>
    </row>
    <row r="135" hidden="1">
      <c r="A135" s="9" t="s">
        <v>280</v>
      </c>
      <c r="B135" s="9"/>
      <c r="C135" s="9"/>
    </row>
    <row r="136" hidden="1">
      <c r="A136" s="9" t="s">
        <v>281</v>
      </c>
      <c r="B136" s="9"/>
      <c r="C136" s="9"/>
    </row>
    <row r="137">
      <c r="A137" s="9" t="s">
        <v>282</v>
      </c>
      <c r="B137" s="9" t="s">
        <v>206</v>
      </c>
      <c r="C137" s="9" t="s">
        <v>396</v>
      </c>
    </row>
    <row r="138">
      <c r="A138" s="9" t="s">
        <v>283</v>
      </c>
      <c r="B138" s="9" t="s">
        <v>442</v>
      </c>
      <c r="C138" s="9" t="s">
        <v>440</v>
      </c>
    </row>
    <row r="139" hidden="1">
      <c r="A139" s="9" t="s">
        <v>284</v>
      </c>
      <c r="B139" s="9"/>
      <c r="C139" s="9"/>
    </row>
    <row r="140" hidden="1">
      <c r="A140" s="9" t="s">
        <v>285</v>
      </c>
      <c r="B140" s="9"/>
      <c r="C140" s="9"/>
    </row>
    <row r="141">
      <c r="A141" s="9" t="s">
        <v>133</v>
      </c>
      <c r="B141" s="9" t="s">
        <v>6</v>
      </c>
      <c r="C141" s="9" t="s">
        <v>439</v>
      </c>
    </row>
    <row r="142" hidden="1">
      <c r="A142" s="9" t="s">
        <v>286</v>
      </c>
      <c r="B142" s="9"/>
      <c r="C142" s="9"/>
    </row>
    <row r="143">
      <c r="A143" s="9" t="s">
        <v>287</v>
      </c>
      <c r="B143" s="9" t="s">
        <v>206</v>
      </c>
      <c r="C143" s="9" t="s">
        <v>396</v>
      </c>
    </row>
    <row r="144">
      <c r="A144" s="9" t="s">
        <v>288</v>
      </c>
      <c r="B144" s="9" t="s">
        <v>206</v>
      </c>
      <c r="C144" s="9" t="s">
        <v>396</v>
      </c>
    </row>
    <row r="145">
      <c r="A145" s="9" t="s">
        <v>289</v>
      </c>
      <c r="B145" s="9" t="s">
        <v>206</v>
      </c>
      <c r="C145" s="9" t="s">
        <v>396</v>
      </c>
    </row>
    <row r="146">
      <c r="A146" s="9" t="s">
        <v>290</v>
      </c>
      <c r="B146" s="9" t="s">
        <v>202</v>
      </c>
      <c r="C146" s="9" t="s">
        <v>396</v>
      </c>
    </row>
    <row r="147">
      <c r="A147" s="9" t="s">
        <v>291</v>
      </c>
      <c r="B147" s="9" t="s">
        <v>433</v>
      </c>
      <c r="C147" s="9" t="s">
        <v>396</v>
      </c>
    </row>
    <row r="148">
      <c r="A148" s="9" t="s">
        <v>292</v>
      </c>
      <c r="B148" s="9" t="s">
        <v>438</v>
      </c>
      <c r="C148" s="9" t="s">
        <v>439</v>
      </c>
    </row>
    <row r="149">
      <c r="A149" s="9" t="s">
        <v>293</v>
      </c>
      <c r="B149" s="9" t="s">
        <v>206</v>
      </c>
      <c r="C149" s="9" t="s">
        <v>396</v>
      </c>
    </row>
    <row r="150">
      <c r="A150" s="9" t="s">
        <v>294</v>
      </c>
      <c r="B150" s="9" t="s">
        <v>206</v>
      </c>
      <c r="C150" s="9" t="s">
        <v>440</v>
      </c>
    </row>
    <row r="151">
      <c r="A151" s="9" t="s">
        <v>2</v>
      </c>
      <c r="B151" s="9" t="s">
        <v>6</v>
      </c>
      <c r="C151" s="9" t="s">
        <v>435</v>
      </c>
    </row>
    <row r="152">
      <c r="A152" s="9" t="s">
        <v>296</v>
      </c>
      <c r="B152" s="9" t="s">
        <v>442</v>
      </c>
      <c r="C152" s="9" t="s">
        <v>440</v>
      </c>
    </row>
    <row r="153" hidden="1">
      <c r="A153" s="9" t="s">
        <v>297</v>
      </c>
      <c r="B153" s="9"/>
      <c r="C153" s="9"/>
    </row>
    <row r="154">
      <c r="A154" s="9" t="s">
        <v>298</v>
      </c>
      <c r="B154" s="9" t="s">
        <v>433</v>
      </c>
      <c r="C154" s="9" t="s">
        <v>440</v>
      </c>
    </row>
    <row r="155">
      <c r="A155" s="9" t="s">
        <v>299</v>
      </c>
      <c r="B155" s="9" t="s">
        <v>202</v>
      </c>
      <c r="C155" s="9" t="s">
        <v>440</v>
      </c>
    </row>
    <row r="156" hidden="1">
      <c r="A156" s="9" t="s">
        <v>300</v>
      </c>
      <c r="B156" s="9"/>
      <c r="C156" s="9"/>
    </row>
    <row r="157">
      <c r="A157" s="9" t="s">
        <v>301</v>
      </c>
      <c r="B157" s="9" t="s">
        <v>206</v>
      </c>
      <c r="C157" s="9" t="s">
        <v>440</v>
      </c>
    </row>
    <row r="158">
      <c r="A158" s="9" t="s">
        <v>25</v>
      </c>
      <c r="B158" s="9" t="s">
        <v>6</v>
      </c>
      <c r="C158" s="9" t="s">
        <v>435</v>
      </c>
    </row>
    <row r="159">
      <c r="A159" s="9" t="s">
        <v>302</v>
      </c>
      <c r="B159" s="9" t="s">
        <v>438</v>
      </c>
      <c r="C159" s="9" t="s">
        <v>396</v>
      </c>
    </row>
    <row r="160">
      <c r="A160" s="9" t="s">
        <v>303</v>
      </c>
      <c r="B160" s="9" t="s">
        <v>202</v>
      </c>
      <c r="C160" s="9" t="s">
        <v>439</v>
      </c>
    </row>
    <row r="161" hidden="1">
      <c r="A161" s="9" t="s">
        <v>304</v>
      </c>
      <c r="B161" s="9"/>
      <c r="C161" s="9"/>
    </row>
    <row r="162">
      <c r="A162" s="9" t="s">
        <v>305</v>
      </c>
      <c r="B162" s="9" t="s">
        <v>206</v>
      </c>
      <c r="C162" s="9" t="s">
        <v>440</v>
      </c>
    </row>
    <row r="163">
      <c r="A163" s="9" t="s">
        <v>306</v>
      </c>
      <c r="B163" s="9" t="s">
        <v>202</v>
      </c>
      <c r="C163" s="9" t="s">
        <v>440</v>
      </c>
    </row>
    <row r="164">
      <c r="A164" s="9" t="s">
        <v>307</v>
      </c>
      <c r="B164" s="9" t="s">
        <v>202</v>
      </c>
      <c r="C164" s="9" t="s">
        <v>396</v>
      </c>
    </row>
    <row r="165">
      <c r="A165" s="9" t="s">
        <v>55</v>
      </c>
      <c r="B165" s="9" t="s">
        <v>6</v>
      </c>
      <c r="C165" s="9" t="s">
        <v>435</v>
      </c>
    </row>
    <row r="166">
      <c r="A166" s="9" t="s">
        <v>177</v>
      </c>
      <c r="B166" s="9" t="s">
        <v>6</v>
      </c>
      <c r="C166" s="9" t="s">
        <v>439</v>
      </c>
    </row>
    <row r="167">
      <c r="A167" s="9" t="s">
        <v>31</v>
      </c>
      <c r="B167" s="9" t="s">
        <v>6</v>
      </c>
      <c r="C167" s="9" t="s">
        <v>440</v>
      </c>
    </row>
    <row r="168">
      <c r="A168" s="9" t="s">
        <v>43</v>
      </c>
      <c r="B168" s="9" t="s">
        <v>6</v>
      </c>
      <c r="C168" s="9" t="s">
        <v>435</v>
      </c>
    </row>
    <row r="169">
      <c r="A169" s="9" t="s">
        <v>308</v>
      </c>
      <c r="B169" s="9" t="s">
        <v>202</v>
      </c>
      <c r="C169" s="9" t="s">
        <v>440</v>
      </c>
    </row>
    <row r="170" hidden="1">
      <c r="A170" s="9" t="s">
        <v>309</v>
      </c>
      <c r="B170" s="9"/>
      <c r="C170" s="9"/>
    </row>
    <row r="171">
      <c r="A171" s="9" t="s">
        <v>73</v>
      </c>
      <c r="B171" s="9" t="s">
        <v>6</v>
      </c>
      <c r="C171" s="9" t="s">
        <v>439</v>
      </c>
    </row>
    <row r="172">
      <c r="A172" s="9" t="s">
        <v>310</v>
      </c>
      <c r="B172" s="9" t="s">
        <v>202</v>
      </c>
      <c r="C172" s="9" t="s">
        <v>396</v>
      </c>
    </row>
    <row r="173">
      <c r="A173" s="9" t="s">
        <v>157</v>
      </c>
      <c r="B173" s="9" t="s">
        <v>6</v>
      </c>
      <c r="C173" s="9" t="s">
        <v>435</v>
      </c>
    </row>
    <row r="174">
      <c r="A174" s="9" t="s">
        <v>99</v>
      </c>
      <c r="B174" s="9" t="s">
        <v>6</v>
      </c>
      <c r="C174" s="9" t="s">
        <v>439</v>
      </c>
    </row>
    <row r="175">
      <c r="A175" s="9" t="s">
        <v>311</v>
      </c>
      <c r="B175" s="9" t="s">
        <v>433</v>
      </c>
      <c r="C175" s="9" t="s">
        <v>439</v>
      </c>
    </row>
    <row r="176">
      <c r="A176" s="9" t="s">
        <v>312</v>
      </c>
      <c r="B176" s="9" t="s">
        <v>206</v>
      </c>
      <c r="C176" s="9" t="s">
        <v>396</v>
      </c>
    </row>
    <row r="177">
      <c r="A177" s="9" t="s">
        <v>313</v>
      </c>
      <c r="B177" s="9" t="s">
        <v>206</v>
      </c>
      <c r="C177" s="9" t="s">
        <v>396</v>
      </c>
    </row>
    <row r="178">
      <c r="A178" s="9" t="s">
        <v>314</v>
      </c>
      <c r="B178" s="9" t="s">
        <v>442</v>
      </c>
      <c r="C178" s="9" t="s">
        <v>439</v>
      </c>
    </row>
    <row r="179">
      <c r="A179" s="9" t="s">
        <v>315</v>
      </c>
      <c r="B179" s="9" t="s">
        <v>202</v>
      </c>
      <c r="C179" s="9" t="s">
        <v>396</v>
      </c>
    </row>
    <row r="180">
      <c r="A180" s="9" t="s">
        <v>316</v>
      </c>
      <c r="B180" s="9" t="s">
        <v>202</v>
      </c>
      <c r="C180" s="9" t="s">
        <v>396</v>
      </c>
    </row>
    <row r="181" hidden="1">
      <c r="A181" s="9" t="s">
        <v>317</v>
      </c>
      <c r="B181" s="9"/>
      <c r="C181" s="9"/>
    </row>
    <row r="182">
      <c r="A182" s="9" t="s">
        <v>318</v>
      </c>
      <c r="B182" s="9" t="s">
        <v>438</v>
      </c>
      <c r="C182" s="9" t="s">
        <v>396</v>
      </c>
    </row>
    <row r="183" hidden="1">
      <c r="A183" s="9" t="s">
        <v>319</v>
      </c>
      <c r="B183" s="9"/>
      <c r="C183" s="9"/>
    </row>
    <row r="184">
      <c r="A184" s="9" t="s">
        <v>320</v>
      </c>
      <c r="B184" s="9" t="s">
        <v>438</v>
      </c>
      <c r="C184" s="9" t="s">
        <v>439</v>
      </c>
    </row>
    <row r="185">
      <c r="A185" s="9" t="s">
        <v>321</v>
      </c>
      <c r="B185" s="9" t="s">
        <v>433</v>
      </c>
      <c r="C185" s="9" t="s">
        <v>396</v>
      </c>
    </row>
    <row r="186">
      <c r="A186" s="9" t="s">
        <v>322</v>
      </c>
      <c r="B186" s="9" t="s">
        <v>433</v>
      </c>
      <c r="C186" s="9" t="s">
        <v>440</v>
      </c>
    </row>
    <row r="187">
      <c r="A187" s="9" t="s">
        <v>323</v>
      </c>
      <c r="B187" s="9" t="s">
        <v>202</v>
      </c>
      <c r="C187" s="9" t="s">
        <v>440</v>
      </c>
    </row>
    <row r="188">
      <c r="A188" s="9" t="s">
        <v>324</v>
      </c>
      <c r="B188" s="9" t="s">
        <v>202</v>
      </c>
      <c r="C188" s="9" t="s">
        <v>396</v>
      </c>
    </row>
    <row r="189">
      <c r="A189" s="9" t="s">
        <v>325</v>
      </c>
      <c r="B189" s="9" t="s">
        <v>202</v>
      </c>
      <c r="C189" s="9" t="s">
        <v>439</v>
      </c>
    </row>
    <row r="190">
      <c r="A190" s="9" t="s">
        <v>326</v>
      </c>
      <c r="B190" s="9" t="s">
        <v>206</v>
      </c>
      <c r="C190" s="9" t="s">
        <v>396</v>
      </c>
    </row>
    <row r="191" hidden="1">
      <c r="A191" s="9" t="s">
        <v>327</v>
      </c>
      <c r="B191" s="9"/>
      <c r="C191" s="9"/>
    </row>
    <row r="192">
      <c r="A192" s="9" t="s">
        <v>328</v>
      </c>
      <c r="B192" s="9" t="s">
        <v>433</v>
      </c>
      <c r="C192" s="9" t="s">
        <v>396</v>
      </c>
    </row>
    <row r="193">
      <c r="A193" s="9" t="s">
        <v>329</v>
      </c>
      <c r="B193" s="9" t="s">
        <v>202</v>
      </c>
      <c r="C193" s="9" t="s">
        <v>435</v>
      </c>
    </row>
    <row r="194">
      <c r="A194" s="9" t="s">
        <v>330</v>
      </c>
      <c r="B194" s="9" t="s">
        <v>206</v>
      </c>
      <c r="C194" s="9" t="s">
        <v>396</v>
      </c>
    </row>
    <row r="195">
      <c r="A195" s="9" t="s">
        <v>331</v>
      </c>
      <c r="B195" s="9" t="s">
        <v>433</v>
      </c>
      <c r="C195" s="9" t="s">
        <v>440</v>
      </c>
    </row>
    <row r="196">
      <c r="A196" s="9" t="s">
        <v>332</v>
      </c>
      <c r="B196" s="9" t="s">
        <v>438</v>
      </c>
      <c r="C196" s="9" t="s">
        <v>439</v>
      </c>
    </row>
    <row r="197" hidden="1">
      <c r="A197" s="9" t="s">
        <v>333</v>
      </c>
      <c r="B197" s="9"/>
      <c r="C197" s="9"/>
    </row>
    <row r="198" hidden="1">
      <c r="A198" s="9" t="s">
        <v>334</v>
      </c>
      <c r="B198" s="9"/>
      <c r="C198" s="9"/>
    </row>
    <row r="199">
      <c r="A199" s="9" t="s">
        <v>335</v>
      </c>
      <c r="B199" s="9" t="s">
        <v>202</v>
      </c>
      <c r="C199" s="9" t="s">
        <v>396</v>
      </c>
    </row>
    <row r="200">
      <c r="A200" s="9" t="s">
        <v>336</v>
      </c>
      <c r="B200" s="9" t="s">
        <v>438</v>
      </c>
      <c r="C200" s="9" t="s">
        <v>396</v>
      </c>
    </row>
    <row r="201">
      <c r="A201" s="9" t="s">
        <v>337</v>
      </c>
      <c r="B201" s="9" t="s">
        <v>206</v>
      </c>
      <c r="C201" s="9" t="s">
        <v>396</v>
      </c>
    </row>
    <row r="202">
      <c r="A202" s="9" t="s">
        <v>338</v>
      </c>
      <c r="B202" s="9" t="s">
        <v>206</v>
      </c>
      <c r="C202" s="9" t="s">
        <v>396</v>
      </c>
    </row>
    <row r="203">
      <c r="A203" s="9" t="s">
        <v>129</v>
      </c>
      <c r="B203" s="9" t="s">
        <v>6</v>
      </c>
      <c r="C203" s="9" t="s">
        <v>435</v>
      </c>
    </row>
    <row r="204" hidden="1">
      <c r="A204" s="9" t="s">
        <v>339</v>
      </c>
      <c r="B204" s="9"/>
      <c r="C204" s="9"/>
    </row>
    <row r="205">
      <c r="A205" s="9" t="s">
        <v>340</v>
      </c>
      <c r="B205" s="9" t="s">
        <v>438</v>
      </c>
      <c r="C205" s="9" t="s">
        <v>396</v>
      </c>
    </row>
    <row r="206">
      <c r="A206" s="9" t="s">
        <v>161</v>
      </c>
      <c r="B206" s="9" t="s">
        <v>6</v>
      </c>
      <c r="C206" s="9" t="s">
        <v>435</v>
      </c>
    </row>
    <row r="207">
      <c r="A207" s="9" t="s">
        <v>91</v>
      </c>
      <c r="B207" s="9" t="s">
        <v>6</v>
      </c>
      <c r="C207" s="9" t="s">
        <v>439</v>
      </c>
    </row>
    <row r="208">
      <c r="A208" s="9" t="s">
        <v>341</v>
      </c>
      <c r="B208" s="9" t="s">
        <v>202</v>
      </c>
      <c r="C208" s="9" t="s">
        <v>396</v>
      </c>
    </row>
    <row r="209">
      <c r="A209" s="9" t="s">
        <v>342</v>
      </c>
      <c r="B209" s="9" t="s">
        <v>202</v>
      </c>
      <c r="C209" s="9" t="s">
        <v>439</v>
      </c>
    </row>
    <row r="210">
      <c r="A210" s="9" t="s">
        <v>165</v>
      </c>
      <c r="B210" s="9" t="s">
        <v>6</v>
      </c>
      <c r="C210" s="9" t="s">
        <v>435</v>
      </c>
    </row>
    <row r="211">
      <c r="A211" s="9" t="s">
        <v>343</v>
      </c>
      <c r="B211" s="9" t="s">
        <v>433</v>
      </c>
      <c r="C211" s="9" t="s">
        <v>440</v>
      </c>
    </row>
    <row r="212">
      <c r="A212" s="9" t="s">
        <v>344</v>
      </c>
      <c r="B212" s="9" t="s">
        <v>206</v>
      </c>
      <c r="C212" s="9" t="s">
        <v>396</v>
      </c>
    </row>
    <row r="213">
      <c r="A213" s="9" t="s">
        <v>201</v>
      </c>
      <c r="B213" s="9" t="s">
        <v>6</v>
      </c>
      <c r="C213" s="9" t="s">
        <v>435</v>
      </c>
    </row>
    <row r="214">
      <c r="A214" s="9" t="s">
        <v>345</v>
      </c>
      <c r="B214" s="9" t="s">
        <v>206</v>
      </c>
      <c r="C214" s="9" t="s">
        <v>440</v>
      </c>
    </row>
    <row r="215" hidden="1">
      <c r="A215" s="9" t="s">
        <v>346</v>
      </c>
      <c r="B215" s="9"/>
      <c r="C215" s="9"/>
    </row>
    <row r="216">
      <c r="A216" s="9" t="s">
        <v>29</v>
      </c>
      <c r="B216" s="9" t="s">
        <v>6</v>
      </c>
      <c r="C216" s="9" t="s">
        <v>435</v>
      </c>
    </row>
    <row r="217" hidden="1">
      <c r="A217" s="9" t="s">
        <v>347</v>
      </c>
      <c r="B217" s="9"/>
      <c r="C217" s="9"/>
    </row>
    <row r="218" hidden="1">
      <c r="A218" s="9" t="s">
        <v>348</v>
      </c>
      <c r="B218" s="9"/>
      <c r="C218" s="9"/>
    </row>
    <row r="219">
      <c r="A219" s="9" t="s">
        <v>109</v>
      </c>
      <c r="B219" s="9" t="s">
        <v>6</v>
      </c>
      <c r="C219" s="9" t="s">
        <v>439</v>
      </c>
    </row>
    <row r="220">
      <c r="A220" s="9" t="s">
        <v>349</v>
      </c>
      <c r="B220" s="9" t="s">
        <v>433</v>
      </c>
      <c r="C220" s="9" t="s">
        <v>440</v>
      </c>
    </row>
    <row r="221">
      <c r="A221" s="9" t="s">
        <v>350</v>
      </c>
      <c r="B221" s="9" t="s">
        <v>206</v>
      </c>
      <c r="C221" s="9" t="s">
        <v>396</v>
      </c>
    </row>
    <row r="222">
      <c r="A222" s="9" t="s">
        <v>351</v>
      </c>
      <c r="B222" s="9" t="s">
        <v>206</v>
      </c>
      <c r="C222" s="9" t="s">
        <v>396</v>
      </c>
    </row>
    <row r="223">
      <c r="A223" s="9" t="s">
        <v>352</v>
      </c>
      <c r="B223" s="9" t="s">
        <v>206</v>
      </c>
      <c r="C223" s="9" t="s">
        <v>396</v>
      </c>
    </row>
    <row r="224">
      <c r="A224" s="9" t="s">
        <v>77</v>
      </c>
      <c r="B224" s="9" t="s">
        <v>6</v>
      </c>
      <c r="C224" s="9" t="s">
        <v>439</v>
      </c>
    </row>
    <row r="225">
      <c r="A225" s="9" t="s">
        <v>353</v>
      </c>
      <c r="B225" s="9" t="s">
        <v>433</v>
      </c>
      <c r="C225" s="9" t="s">
        <v>396</v>
      </c>
    </row>
    <row r="226">
      <c r="A226" s="9" t="s">
        <v>121</v>
      </c>
      <c r="B226" s="9" t="s">
        <v>6</v>
      </c>
      <c r="C226" s="9" t="s">
        <v>396</v>
      </c>
    </row>
    <row r="227">
      <c r="A227" s="9" t="s">
        <v>354</v>
      </c>
      <c r="B227" s="9" t="s">
        <v>438</v>
      </c>
      <c r="C227" s="9" t="s">
        <v>435</v>
      </c>
    </row>
    <row r="228">
      <c r="A228" s="9" t="s">
        <v>355</v>
      </c>
      <c r="B228" s="9" t="s">
        <v>433</v>
      </c>
      <c r="C228" s="9" t="s">
        <v>396</v>
      </c>
    </row>
    <row r="229">
      <c r="A229" s="9" t="s">
        <v>17</v>
      </c>
      <c r="B229" s="9" t="s">
        <v>6</v>
      </c>
      <c r="C229" s="9" t="s">
        <v>435</v>
      </c>
    </row>
    <row r="230" hidden="1">
      <c r="A230" s="9" t="s">
        <v>356</v>
      </c>
      <c r="B230" s="9"/>
      <c r="C230" s="9"/>
    </row>
    <row r="231" hidden="1">
      <c r="A231" s="9" t="s">
        <v>357</v>
      </c>
      <c r="B231" s="9"/>
      <c r="C231" s="9"/>
    </row>
    <row r="232">
      <c r="A232" s="9" t="s">
        <v>171</v>
      </c>
      <c r="B232" s="9" t="s">
        <v>6</v>
      </c>
      <c r="C232" s="9" t="s">
        <v>439</v>
      </c>
    </row>
    <row r="233">
      <c r="A233" s="9" t="s">
        <v>358</v>
      </c>
      <c r="B233" s="9" t="s">
        <v>202</v>
      </c>
      <c r="C233" s="9" t="s">
        <v>440</v>
      </c>
    </row>
    <row r="234">
      <c r="A234" s="9" t="s">
        <v>359</v>
      </c>
      <c r="B234" s="9" t="s">
        <v>206</v>
      </c>
      <c r="C234" s="9" t="s">
        <v>439</v>
      </c>
    </row>
    <row r="235">
      <c r="A235" s="9" t="s">
        <v>360</v>
      </c>
      <c r="B235" s="9" t="s">
        <v>206</v>
      </c>
      <c r="C235" s="9" t="s">
        <v>440</v>
      </c>
    </row>
    <row r="236" hidden="1">
      <c r="A236" s="9" t="s">
        <v>361</v>
      </c>
      <c r="B236" s="9"/>
      <c r="C236" s="9"/>
    </row>
    <row r="237">
      <c r="A237" s="9" t="s">
        <v>362</v>
      </c>
      <c r="B237" s="9" t="s">
        <v>202</v>
      </c>
      <c r="C237" s="9" t="s">
        <v>439</v>
      </c>
    </row>
    <row r="238" hidden="1">
      <c r="A238" s="9" t="s">
        <v>363</v>
      </c>
      <c r="B238" s="9"/>
      <c r="C238" s="9"/>
    </row>
    <row r="239">
      <c r="A239" s="9" t="s">
        <v>364</v>
      </c>
      <c r="B239" s="9" t="s">
        <v>202</v>
      </c>
      <c r="C239" s="9" t="s">
        <v>440</v>
      </c>
    </row>
    <row r="240" hidden="1">
      <c r="A240" s="9" t="s">
        <v>365</v>
      </c>
      <c r="B240" s="9"/>
      <c r="C240" s="9"/>
    </row>
    <row r="241" hidden="1">
      <c r="A241" s="9" t="s">
        <v>366</v>
      </c>
      <c r="B241" s="9"/>
      <c r="C241" s="9"/>
    </row>
    <row r="242">
      <c r="A242" s="9" t="s">
        <v>367</v>
      </c>
      <c r="B242" s="9" t="s">
        <v>433</v>
      </c>
      <c r="C242" s="9" t="s">
        <v>396</v>
      </c>
    </row>
    <row r="243">
      <c r="A243" s="9" t="s">
        <v>368</v>
      </c>
      <c r="B243" s="9" t="s">
        <v>438</v>
      </c>
      <c r="C243" s="9" t="s">
        <v>439</v>
      </c>
    </row>
    <row r="244">
      <c r="A244" s="9" t="s">
        <v>369</v>
      </c>
      <c r="B244" s="9" t="s">
        <v>206</v>
      </c>
      <c r="C244" s="9" t="s">
        <v>440</v>
      </c>
    </row>
    <row r="245">
      <c r="A245" s="9" t="s">
        <v>370</v>
      </c>
      <c r="B245" s="9" t="s">
        <v>202</v>
      </c>
      <c r="C245" s="9" t="s">
        <v>440</v>
      </c>
    </row>
    <row r="246">
      <c r="A246" s="9" t="s">
        <v>39</v>
      </c>
      <c r="B246" s="9" t="s">
        <v>6</v>
      </c>
      <c r="C246" s="9" t="s">
        <v>439</v>
      </c>
    </row>
    <row r="247">
      <c r="A247" s="9" t="s">
        <v>372</v>
      </c>
      <c r="B247" s="9" t="s">
        <v>6</v>
      </c>
      <c r="C247" s="9" t="s">
        <v>435</v>
      </c>
    </row>
    <row r="248">
      <c r="A248" s="9" t="s">
        <v>373</v>
      </c>
      <c r="B248" s="9" t="s">
        <v>206</v>
      </c>
      <c r="C248" s="9" t="s">
        <v>440</v>
      </c>
    </row>
    <row r="249" hidden="1">
      <c r="A249" s="9" t="s">
        <v>374</v>
      </c>
      <c r="B249" s="9"/>
      <c r="C249" s="9"/>
    </row>
    <row r="250">
      <c r="A250" s="9" t="s">
        <v>375</v>
      </c>
      <c r="B250" s="9" t="s">
        <v>433</v>
      </c>
      <c r="C250" s="9" t="s">
        <v>396</v>
      </c>
    </row>
    <row r="251">
      <c r="A251" s="9" t="s">
        <v>376</v>
      </c>
      <c r="B251" s="9" t="s">
        <v>444</v>
      </c>
      <c r="C251" s="9" t="s">
        <v>396</v>
      </c>
    </row>
    <row r="252">
      <c r="A252" s="9" t="s">
        <v>377</v>
      </c>
      <c r="B252" s="9" t="s">
        <v>206</v>
      </c>
      <c r="C252" s="9" t="s">
        <v>439</v>
      </c>
    </row>
    <row r="253">
      <c r="A253" s="9" t="s">
        <v>378</v>
      </c>
      <c r="B253" s="9" t="s">
        <v>433</v>
      </c>
      <c r="C253" s="9" t="s">
        <v>440</v>
      </c>
    </row>
    <row r="254">
      <c r="A254" s="9" t="s">
        <v>379</v>
      </c>
      <c r="B254" s="9" t="s">
        <v>433</v>
      </c>
      <c r="C254" s="9" t="s">
        <v>439</v>
      </c>
    </row>
    <row r="255">
      <c r="A255" s="9" t="s">
        <v>380</v>
      </c>
      <c r="B255" s="9" t="s">
        <v>433</v>
      </c>
      <c r="C255" s="9" t="s">
        <v>396</v>
      </c>
    </row>
    <row r="256">
      <c r="A256" s="9" t="s">
        <v>381</v>
      </c>
      <c r="B256" s="9" t="s">
        <v>433</v>
      </c>
      <c r="C256" s="9" t="s">
        <v>396</v>
      </c>
    </row>
    <row r="257">
      <c r="A257" s="9" t="s">
        <v>382</v>
      </c>
      <c r="B257" s="9" t="s">
        <v>202</v>
      </c>
      <c r="C257" s="9" t="s">
        <v>440</v>
      </c>
    </row>
    <row r="258">
      <c r="A258" s="9" t="s">
        <v>383</v>
      </c>
      <c r="B258" s="9" t="s">
        <v>202</v>
      </c>
      <c r="C258" s="9" t="s">
        <v>439</v>
      </c>
    </row>
    <row r="259" hidden="1">
      <c r="A259" s="9" t="s">
        <v>384</v>
      </c>
      <c r="B259" s="9"/>
      <c r="C259" s="9"/>
    </row>
    <row r="260">
      <c r="A260" s="9" t="s">
        <v>386</v>
      </c>
      <c r="B260" s="9" t="s">
        <v>202</v>
      </c>
      <c r="C260" s="9" t="s">
        <v>440</v>
      </c>
    </row>
    <row r="261">
      <c r="A261" s="9" t="s">
        <v>387</v>
      </c>
      <c r="B261" s="9" t="s">
        <v>206</v>
      </c>
      <c r="C261" s="9" t="s">
        <v>440</v>
      </c>
    </row>
    <row r="262">
      <c r="A262" s="9" t="s">
        <v>388</v>
      </c>
      <c r="B262" s="9" t="s">
        <v>438</v>
      </c>
      <c r="C262" s="9" t="s">
        <v>435</v>
      </c>
    </row>
    <row r="263">
      <c r="A263" s="9" t="s">
        <v>389</v>
      </c>
      <c r="B263" s="9" t="s">
        <v>6</v>
      </c>
      <c r="C263" s="9" t="s">
        <v>440</v>
      </c>
    </row>
    <row r="264">
      <c r="A264" s="9" t="s">
        <v>390</v>
      </c>
      <c r="B264" s="9" t="s">
        <v>6</v>
      </c>
      <c r="C264" s="9" t="s">
        <v>439</v>
      </c>
    </row>
    <row r="265">
      <c r="A265" s="9" t="s">
        <v>391</v>
      </c>
      <c r="B265" s="9" t="s">
        <v>6</v>
      </c>
      <c r="C265" s="9" t="s">
        <v>439</v>
      </c>
    </row>
    <row r="266" hidden="1">
      <c r="A266" s="9"/>
      <c r="B266" s="9"/>
      <c r="C266" s="9"/>
    </row>
    <row r="267" hidden="1">
      <c r="A267" s="9"/>
      <c r="B267" s="9"/>
      <c r="C267" s="9"/>
    </row>
    <row r="268" hidden="1">
      <c r="A268" s="9"/>
      <c r="B268" s="9"/>
      <c r="C268" s="9"/>
    </row>
    <row r="269" hidden="1">
      <c r="A269" s="9"/>
      <c r="B269" s="9"/>
      <c r="C269" s="9"/>
    </row>
    <row r="270" hidden="1">
      <c r="A270" s="9"/>
      <c r="B270" s="9"/>
      <c r="C270" s="9"/>
    </row>
    <row r="271" hidden="1">
      <c r="A271" s="9"/>
      <c r="B271" s="9"/>
      <c r="C271" s="9"/>
    </row>
    <row r="272" hidden="1">
      <c r="A272" s="9"/>
      <c r="B272" s="9"/>
      <c r="C272" s="9"/>
    </row>
    <row r="273" hidden="1">
      <c r="A273" s="9"/>
      <c r="B273" s="9"/>
      <c r="C273" s="9"/>
    </row>
    <row r="274" hidden="1">
      <c r="A274" s="9"/>
      <c r="B274" s="9"/>
      <c r="C274" s="9"/>
    </row>
    <row r="275" hidden="1">
      <c r="A275" s="9"/>
      <c r="B275" s="9"/>
      <c r="C275" s="9"/>
    </row>
    <row r="276" hidden="1">
      <c r="A276" s="9"/>
      <c r="B276" s="9"/>
      <c r="C276" s="9"/>
    </row>
    <row r="277" hidden="1">
      <c r="A277" s="9"/>
      <c r="B277" s="9"/>
      <c r="C277" s="9"/>
    </row>
    <row r="278" hidden="1">
      <c r="A278" s="9"/>
      <c r="B278" s="9"/>
      <c r="C278" s="9"/>
    </row>
    <row r="279" hidden="1">
      <c r="A279" s="9"/>
      <c r="B279" s="9"/>
      <c r="C279" s="9"/>
    </row>
    <row r="280" hidden="1">
      <c r="A280" s="9"/>
      <c r="B280" s="9"/>
      <c r="C280" s="9"/>
    </row>
    <row r="281" hidden="1">
      <c r="A281" s="9"/>
      <c r="B281" s="9"/>
      <c r="C281" s="9"/>
    </row>
    <row r="282" hidden="1">
      <c r="A282" s="9"/>
      <c r="B282" s="9"/>
      <c r="C282" s="9"/>
    </row>
    <row r="283" hidden="1">
      <c r="A283" s="9"/>
      <c r="B283" s="9"/>
      <c r="C283" s="9"/>
    </row>
    <row r="284" hidden="1">
      <c r="A284" s="9"/>
      <c r="B284" s="9"/>
      <c r="C284" s="9"/>
    </row>
    <row r="285" hidden="1">
      <c r="A285" s="9"/>
      <c r="B285" s="9"/>
      <c r="C285" s="9"/>
    </row>
    <row r="286" hidden="1">
      <c r="A286" s="9"/>
      <c r="B286" s="9"/>
      <c r="C286" s="9"/>
    </row>
    <row r="287" hidden="1">
      <c r="A287" s="9"/>
      <c r="B287" s="9"/>
      <c r="C287" s="9"/>
    </row>
    <row r="288" hidden="1">
      <c r="A288" s="9"/>
      <c r="B288" s="9"/>
      <c r="C288" s="9"/>
    </row>
    <row r="289" hidden="1">
      <c r="A289" s="9"/>
      <c r="B289" s="9"/>
      <c r="C289" s="9"/>
    </row>
    <row r="290" hidden="1">
      <c r="A290" s="9"/>
      <c r="B290" s="9"/>
      <c r="C290" s="9"/>
    </row>
    <row r="291" hidden="1">
      <c r="A291" s="9"/>
      <c r="B291" s="9"/>
      <c r="C291" s="9"/>
    </row>
    <row r="292" hidden="1">
      <c r="A292" s="9"/>
      <c r="B292" s="9"/>
      <c r="C292" s="9"/>
    </row>
    <row r="293" hidden="1">
      <c r="A293" s="9"/>
      <c r="B293" s="9"/>
      <c r="C293" s="9"/>
    </row>
    <row r="294" hidden="1">
      <c r="A294" s="9"/>
      <c r="B294" s="9"/>
      <c r="C294" s="9"/>
    </row>
    <row r="295" hidden="1">
      <c r="A295" s="9"/>
      <c r="B295" s="9"/>
      <c r="C295" s="9"/>
    </row>
    <row r="296" hidden="1">
      <c r="A296" s="9"/>
      <c r="B296" s="9"/>
      <c r="C296" s="9"/>
    </row>
    <row r="297" hidden="1">
      <c r="A297" s="9"/>
      <c r="B297" s="9"/>
      <c r="C297" s="9"/>
    </row>
    <row r="298" hidden="1">
      <c r="A298" s="9"/>
      <c r="B298" s="9"/>
      <c r="C298" s="9"/>
    </row>
    <row r="299" hidden="1">
      <c r="A299" s="9"/>
      <c r="B299" s="9"/>
      <c r="C299" s="9"/>
    </row>
    <row r="300" hidden="1">
      <c r="A300" s="9"/>
      <c r="B300" s="9"/>
      <c r="C300" s="9"/>
    </row>
    <row r="301" hidden="1">
      <c r="A301" s="9"/>
      <c r="B301" s="9"/>
      <c r="C301" s="9"/>
    </row>
    <row r="302" hidden="1">
      <c r="A302" s="9"/>
      <c r="B302" s="9"/>
      <c r="C302" s="9"/>
    </row>
    <row r="303" hidden="1">
      <c r="A303" s="9"/>
      <c r="B303" s="9"/>
      <c r="C303" s="9"/>
    </row>
    <row r="304" hidden="1">
      <c r="A304" s="9"/>
      <c r="B304" s="9"/>
      <c r="C304" s="9"/>
    </row>
    <row r="305" hidden="1">
      <c r="A305" s="9"/>
      <c r="B305" s="9"/>
      <c r="C305" s="9"/>
    </row>
    <row r="306" hidden="1">
      <c r="A306" s="9"/>
      <c r="B306" s="9"/>
      <c r="C306" s="9"/>
    </row>
    <row r="307" hidden="1">
      <c r="A307" s="9"/>
      <c r="B307" s="9"/>
      <c r="C307" s="9"/>
    </row>
    <row r="308" hidden="1">
      <c r="A308" s="9"/>
      <c r="B308" s="9"/>
      <c r="C308" s="9"/>
    </row>
    <row r="309" hidden="1">
      <c r="A309" s="9"/>
      <c r="B309" s="9"/>
      <c r="C309" s="9"/>
    </row>
    <row r="310" hidden="1">
      <c r="A310" s="9"/>
      <c r="B310" s="9"/>
      <c r="C310" s="9"/>
    </row>
    <row r="311" hidden="1">
      <c r="A311" s="9"/>
      <c r="B311" s="9"/>
      <c r="C311" s="9"/>
    </row>
    <row r="312" hidden="1">
      <c r="A312" s="9"/>
      <c r="B312" s="9"/>
      <c r="C312" s="9"/>
    </row>
    <row r="313" hidden="1">
      <c r="A313" s="9"/>
      <c r="B313" s="9"/>
      <c r="C313" s="9"/>
    </row>
    <row r="314" hidden="1">
      <c r="A314" s="9"/>
      <c r="B314" s="9"/>
      <c r="C314" s="9"/>
    </row>
    <row r="315" hidden="1">
      <c r="A315" s="9"/>
      <c r="B315" s="9"/>
      <c r="C315" s="9"/>
    </row>
    <row r="316" hidden="1">
      <c r="A316" s="9"/>
      <c r="B316" s="9"/>
      <c r="C316" s="9"/>
    </row>
    <row r="317" hidden="1">
      <c r="A317" s="9"/>
      <c r="B317" s="9"/>
      <c r="C317" s="9"/>
    </row>
    <row r="318" hidden="1">
      <c r="A318" s="9"/>
      <c r="B318" s="9"/>
      <c r="C318" s="9"/>
    </row>
    <row r="319" hidden="1">
      <c r="A319" s="9"/>
      <c r="B319" s="9"/>
      <c r="C319" s="9"/>
    </row>
    <row r="320" hidden="1">
      <c r="A320" s="9"/>
      <c r="B320" s="9"/>
      <c r="C320" s="9"/>
    </row>
    <row r="321" hidden="1">
      <c r="A321" s="9"/>
      <c r="B321" s="9"/>
      <c r="C321" s="9"/>
    </row>
    <row r="322" hidden="1">
      <c r="A322" s="9"/>
      <c r="B322" s="9"/>
      <c r="C322" s="9"/>
    </row>
    <row r="323" hidden="1">
      <c r="A323" s="9"/>
      <c r="B323" s="9"/>
      <c r="C323" s="9"/>
    </row>
    <row r="324" hidden="1">
      <c r="A324" s="9"/>
      <c r="B324" s="9"/>
      <c r="C324" s="9"/>
    </row>
    <row r="325" hidden="1">
      <c r="A325" s="9"/>
      <c r="B325" s="9"/>
      <c r="C325" s="9"/>
    </row>
    <row r="326" hidden="1">
      <c r="A326" s="9"/>
      <c r="B326" s="9"/>
      <c r="C326" s="9"/>
    </row>
    <row r="327" hidden="1">
      <c r="A327" s="9"/>
      <c r="B327" s="9"/>
      <c r="C327" s="9"/>
    </row>
    <row r="328" hidden="1">
      <c r="A328" s="9"/>
      <c r="B328" s="9"/>
      <c r="C328" s="9"/>
    </row>
    <row r="329" hidden="1">
      <c r="A329" s="9"/>
      <c r="B329" s="9"/>
      <c r="C329" s="9"/>
    </row>
    <row r="330" hidden="1">
      <c r="A330" s="9"/>
      <c r="B330" s="9"/>
      <c r="C330" s="9"/>
    </row>
    <row r="331" hidden="1">
      <c r="A331" s="9"/>
      <c r="B331" s="9"/>
      <c r="C331" s="9"/>
    </row>
    <row r="332" hidden="1">
      <c r="A332" s="9"/>
      <c r="B332" s="9"/>
      <c r="C332" s="9"/>
    </row>
    <row r="333" hidden="1">
      <c r="A333" s="9"/>
      <c r="B333" s="9"/>
      <c r="C333" s="9"/>
    </row>
    <row r="334" hidden="1">
      <c r="A334" s="9"/>
      <c r="B334" s="9"/>
      <c r="C334" s="9"/>
    </row>
    <row r="335" hidden="1">
      <c r="A335" s="9"/>
      <c r="B335" s="9"/>
      <c r="C335" s="9"/>
    </row>
    <row r="336" hidden="1">
      <c r="A336" s="9"/>
      <c r="B336" s="9"/>
      <c r="C336" s="9"/>
    </row>
    <row r="337" hidden="1">
      <c r="A337" s="9"/>
      <c r="B337" s="9"/>
      <c r="C337" s="9"/>
    </row>
    <row r="338" hidden="1">
      <c r="A338" s="9"/>
      <c r="B338" s="9"/>
      <c r="C338" s="9"/>
    </row>
    <row r="339" hidden="1">
      <c r="A339" s="9"/>
      <c r="B339" s="9"/>
      <c r="C339" s="9"/>
    </row>
    <row r="340" hidden="1">
      <c r="A340" s="9"/>
      <c r="B340" s="9"/>
      <c r="C340" s="9"/>
    </row>
    <row r="341" hidden="1">
      <c r="A341" s="9"/>
      <c r="B341" s="9"/>
      <c r="C341" s="9"/>
    </row>
    <row r="342" hidden="1">
      <c r="A342" s="9"/>
      <c r="B342" s="9"/>
      <c r="C342" s="9"/>
    </row>
    <row r="343" hidden="1">
      <c r="A343" s="9"/>
      <c r="B343" s="9"/>
      <c r="C343" s="9"/>
    </row>
    <row r="344" hidden="1">
      <c r="A344" s="9"/>
      <c r="B344" s="9"/>
      <c r="C344" s="9"/>
    </row>
    <row r="345" hidden="1">
      <c r="A345" s="9"/>
      <c r="B345" s="9"/>
      <c r="C345" s="9"/>
    </row>
    <row r="346" hidden="1">
      <c r="A346" s="9"/>
      <c r="B346" s="9"/>
      <c r="C346" s="9"/>
    </row>
    <row r="347" hidden="1">
      <c r="A347" s="9"/>
      <c r="B347" s="9"/>
      <c r="C347" s="9"/>
    </row>
    <row r="348" hidden="1">
      <c r="A348" s="9"/>
      <c r="B348" s="9"/>
      <c r="C348" s="9"/>
    </row>
    <row r="349" hidden="1">
      <c r="A349" s="9"/>
      <c r="B349" s="9"/>
      <c r="C349" s="9"/>
    </row>
    <row r="350" hidden="1">
      <c r="A350" s="9"/>
      <c r="B350" s="9"/>
      <c r="C350" s="9"/>
    </row>
    <row r="351" hidden="1">
      <c r="A351" s="9"/>
      <c r="B351" s="9"/>
      <c r="C351" s="9"/>
    </row>
    <row r="352" hidden="1">
      <c r="A352" s="9"/>
      <c r="B352" s="9"/>
      <c r="C352" s="9"/>
    </row>
    <row r="353" hidden="1">
      <c r="A353" s="9"/>
      <c r="B353" s="9"/>
      <c r="C353" s="9"/>
    </row>
    <row r="354" hidden="1">
      <c r="A354" s="9"/>
      <c r="B354" s="9"/>
      <c r="C354" s="9"/>
    </row>
    <row r="355" hidden="1">
      <c r="A355" s="9"/>
      <c r="B355" s="9"/>
      <c r="C355" s="9"/>
    </row>
    <row r="356" hidden="1">
      <c r="A356" s="9"/>
      <c r="B356" s="9"/>
      <c r="C356" s="9"/>
    </row>
    <row r="357" hidden="1">
      <c r="A357" s="9"/>
      <c r="B357" s="9"/>
      <c r="C357" s="9"/>
    </row>
    <row r="358" hidden="1">
      <c r="A358" s="9"/>
      <c r="B358" s="9"/>
      <c r="C358" s="9"/>
    </row>
    <row r="359" hidden="1">
      <c r="A359" s="9"/>
      <c r="B359" s="9"/>
      <c r="C359" s="9"/>
    </row>
    <row r="360" hidden="1">
      <c r="A360" s="9"/>
      <c r="B360" s="9"/>
      <c r="C360" s="9"/>
    </row>
    <row r="361" hidden="1">
      <c r="A361" s="9"/>
      <c r="B361" s="9"/>
      <c r="C361" s="9"/>
    </row>
    <row r="362" hidden="1">
      <c r="A362" s="9"/>
      <c r="B362" s="9"/>
      <c r="C362" s="9"/>
    </row>
    <row r="363" hidden="1">
      <c r="A363" s="9"/>
      <c r="B363" s="9"/>
      <c r="C363" s="9"/>
    </row>
    <row r="364" hidden="1">
      <c r="A364" s="9"/>
      <c r="B364" s="9"/>
      <c r="C364" s="9"/>
    </row>
    <row r="365" hidden="1">
      <c r="A365" s="9"/>
      <c r="B365" s="9"/>
      <c r="C365" s="9"/>
    </row>
    <row r="366" hidden="1">
      <c r="A366" s="9"/>
      <c r="B366" s="9"/>
      <c r="C366" s="9"/>
    </row>
    <row r="367" hidden="1">
      <c r="A367" s="9"/>
      <c r="B367" s="9"/>
      <c r="C367" s="9"/>
    </row>
    <row r="368" hidden="1">
      <c r="A368" s="9"/>
      <c r="B368" s="9"/>
      <c r="C368" s="9"/>
    </row>
    <row r="369" hidden="1">
      <c r="A369" s="9"/>
      <c r="B369" s="9"/>
      <c r="C369" s="9"/>
    </row>
    <row r="370" hidden="1">
      <c r="A370" s="9"/>
      <c r="B370" s="9"/>
      <c r="C370" s="9"/>
    </row>
    <row r="371" hidden="1">
      <c r="A371" s="9"/>
      <c r="B371" s="9"/>
      <c r="C371" s="9"/>
    </row>
    <row r="372" hidden="1">
      <c r="A372" s="9"/>
      <c r="B372" s="9"/>
      <c r="C372" s="9"/>
    </row>
    <row r="373" hidden="1">
      <c r="A373" s="9"/>
      <c r="B373" s="9"/>
      <c r="C373" s="9"/>
    </row>
    <row r="374" hidden="1">
      <c r="A374" s="9"/>
      <c r="B374" s="9"/>
      <c r="C374" s="9"/>
    </row>
    <row r="375" hidden="1">
      <c r="A375" s="9"/>
      <c r="B375" s="9"/>
      <c r="C375" s="9"/>
    </row>
    <row r="376" hidden="1">
      <c r="A376" s="9"/>
      <c r="B376" s="9"/>
      <c r="C376" s="9"/>
    </row>
    <row r="377" hidden="1">
      <c r="A377" s="9"/>
      <c r="B377" s="9"/>
      <c r="C377" s="9"/>
    </row>
    <row r="378" hidden="1">
      <c r="A378" s="9"/>
      <c r="B378" s="9"/>
      <c r="C378" s="9"/>
    </row>
    <row r="379" hidden="1">
      <c r="A379" s="9"/>
      <c r="B379" s="9"/>
      <c r="C379" s="9"/>
    </row>
    <row r="380" hidden="1">
      <c r="A380" s="9"/>
      <c r="B380" s="9"/>
      <c r="C380" s="9"/>
    </row>
    <row r="381" hidden="1">
      <c r="A381" s="9"/>
      <c r="B381" s="9"/>
      <c r="C381" s="9"/>
    </row>
    <row r="382" hidden="1">
      <c r="A382" s="9"/>
      <c r="B382" s="9"/>
      <c r="C382" s="9"/>
    </row>
    <row r="383" hidden="1">
      <c r="A383" s="9"/>
      <c r="B383" s="9"/>
      <c r="C383" s="9"/>
    </row>
    <row r="384" hidden="1">
      <c r="A384" s="9"/>
      <c r="B384" s="9"/>
      <c r="C384" s="9"/>
    </row>
    <row r="385" hidden="1">
      <c r="A385" s="9"/>
      <c r="B385" s="9"/>
      <c r="C385" s="9"/>
    </row>
    <row r="386" hidden="1">
      <c r="A386" s="9"/>
      <c r="B386" s="9"/>
      <c r="C386" s="9"/>
    </row>
    <row r="387" hidden="1">
      <c r="A387" s="9"/>
      <c r="B387" s="9"/>
      <c r="C387" s="9"/>
    </row>
    <row r="388" hidden="1">
      <c r="A388" s="9"/>
      <c r="B388" s="9"/>
      <c r="C388" s="9"/>
    </row>
    <row r="389" hidden="1">
      <c r="A389" s="9"/>
      <c r="B389" s="9"/>
      <c r="C389" s="9"/>
    </row>
    <row r="390" hidden="1">
      <c r="A390" s="9"/>
      <c r="B390" s="9"/>
      <c r="C390" s="9"/>
    </row>
    <row r="391" hidden="1">
      <c r="A391" s="9"/>
      <c r="B391" s="9"/>
      <c r="C391" s="9"/>
    </row>
    <row r="392" hidden="1">
      <c r="A392" s="9"/>
      <c r="B392" s="9"/>
      <c r="C392" s="9"/>
    </row>
    <row r="393" hidden="1">
      <c r="A393" s="9"/>
      <c r="B393" s="9"/>
      <c r="C393" s="9"/>
    </row>
    <row r="394" hidden="1">
      <c r="A394" s="9"/>
      <c r="B394" s="9"/>
      <c r="C394" s="9"/>
    </row>
    <row r="395" hidden="1">
      <c r="A395" s="9"/>
      <c r="B395" s="9"/>
      <c r="C395" s="9"/>
    </row>
    <row r="396" hidden="1">
      <c r="A396" s="9"/>
      <c r="B396" s="9"/>
      <c r="C396" s="9"/>
    </row>
    <row r="397" hidden="1">
      <c r="A397" s="9"/>
      <c r="B397" s="9"/>
      <c r="C397" s="9"/>
    </row>
    <row r="398" hidden="1">
      <c r="A398" s="9"/>
      <c r="B398" s="9"/>
      <c r="C398" s="9"/>
    </row>
    <row r="399" hidden="1">
      <c r="A399" s="9"/>
      <c r="B399" s="9"/>
      <c r="C399" s="9"/>
    </row>
    <row r="400" hidden="1">
      <c r="A400" s="9"/>
      <c r="B400" s="9"/>
      <c r="C400" s="9"/>
    </row>
    <row r="401" hidden="1">
      <c r="A401" s="9"/>
      <c r="B401" s="9"/>
      <c r="C401" s="9"/>
    </row>
    <row r="402" hidden="1">
      <c r="A402" s="9"/>
      <c r="B402" s="9"/>
      <c r="C402" s="9"/>
    </row>
    <row r="403" hidden="1">
      <c r="A403" s="9"/>
      <c r="B403" s="9"/>
      <c r="C403" s="9"/>
    </row>
    <row r="404" hidden="1">
      <c r="A404" s="9"/>
      <c r="B404" s="9"/>
      <c r="C404" s="9"/>
    </row>
    <row r="405" hidden="1">
      <c r="A405" s="9"/>
      <c r="B405" s="9"/>
      <c r="C405" s="9"/>
    </row>
    <row r="406" hidden="1">
      <c r="A406" s="9"/>
      <c r="B406" s="9"/>
      <c r="C406" s="9"/>
    </row>
    <row r="407" hidden="1">
      <c r="A407" s="9"/>
      <c r="B407" s="9"/>
      <c r="C407" s="9"/>
    </row>
    <row r="408" hidden="1">
      <c r="A408" s="9"/>
      <c r="B408" s="9"/>
      <c r="C408" s="9"/>
    </row>
    <row r="409" hidden="1">
      <c r="A409" s="9"/>
      <c r="B409" s="9"/>
      <c r="C409" s="9"/>
    </row>
    <row r="410" hidden="1">
      <c r="A410" s="9"/>
      <c r="B410" s="9"/>
      <c r="C410" s="9"/>
    </row>
    <row r="411" hidden="1">
      <c r="A411" s="9"/>
      <c r="B411" s="9"/>
      <c r="C411" s="9"/>
    </row>
    <row r="412" hidden="1">
      <c r="A412" s="9"/>
      <c r="B412" s="9"/>
      <c r="C412" s="9"/>
    </row>
    <row r="413" hidden="1">
      <c r="A413" s="9"/>
      <c r="B413" s="9"/>
      <c r="C413" s="9"/>
    </row>
    <row r="414" hidden="1">
      <c r="A414" s="9"/>
      <c r="B414" s="9"/>
      <c r="C414" s="9"/>
    </row>
    <row r="415" hidden="1">
      <c r="A415" s="9"/>
      <c r="B415" s="9"/>
      <c r="C415" s="9"/>
    </row>
    <row r="416" hidden="1">
      <c r="A416" s="9"/>
      <c r="B416" s="9"/>
      <c r="C416" s="9"/>
    </row>
    <row r="417" hidden="1">
      <c r="A417" s="9"/>
      <c r="B417" s="9"/>
      <c r="C417" s="9"/>
    </row>
    <row r="418" hidden="1">
      <c r="A418" s="9"/>
      <c r="B418" s="9"/>
      <c r="C418" s="9"/>
    </row>
    <row r="419" hidden="1">
      <c r="A419" s="9"/>
      <c r="B419" s="9"/>
      <c r="C419" s="9"/>
    </row>
    <row r="420" hidden="1">
      <c r="A420" s="9"/>
      <c r="B420" s="9"/>
      <c r="C420" s="9"/>
    </row>
    <row r="421" hidden="1">
      <c r="A421" s="9"/>
      <c r="B421" s="9"/>
      <c r="C421" s="9"/>
    </row>
    <row r="422" hidden="1">
      <c r="A422" s="9"/>
      <c r="B422" s="9"/>
      <c r="C422" s="9"/>
    </row>
    <row r="423" hidden="1">
      <c r="A423" s="9"/>
      <c r="B423" s="9"/>
      <c r="C423" s="9"/>
    </row>
    <row r="424" hidden="1">
      <c r="A424" s="9"/>
      <c r="B424" s="9"/>
      <c r="C424" s="9"/>
    </row>
    <row r="425" hidden="1">
      <c r="A425" s="9"/>
      <c r="B425" s="9"/>
      <c r="C425" s="9"/>
    </row>
    <row r="426" hidden="1">
      <c r="A426" s="9"/>
      <c r="B426" s="9"/>
      <c r="C426" s="9"/>
    </row>
    <row r="427" hidden="1">
      <c r="A427" s="9"/>
      <c r="B427" s="9"/>
      <c r="C427" s="9"/>
    </row>
    <row r="428" hidden="1">
      <c r="A428" s="9"/>
      <c r="B428" s="9"/>
      <c r="C428" s="9"/>
    </row>
    <row r="429" hidden="1">
      <c r="A429" s="9"/>
      <c r="B429" s="9"/>
      <c r="C429" s="9"/>
    </row>
    <row r="430" hidden="1">
      <c r="A430" s="9"/>
      <c r="B430" s="9"/>
      <c r="C430" s="9"/>
    </row>
    <row r="431" hidden="1">
      <c r="A431" s="9"/>
      <c r="B431" s="9"/>
      <c r="C431" s="9"/>
    </row>
    <row r="432" hidden="1">
      <c r="A432" s="9"/>
      <c r="B432" s="9"/>
      <c r="C432" s="9"/>
    </row>
    <row r="433" hidden="1">
      <c r="A433" s="9"/>
      <c r="B433" s="9"/>
      <c r="C433" s="9"/>
    </row>
    <row r="434" hidden="1">
      <c r="A434" s="9"/>
      <c r="B434" s="9"/>
      <c r="C434" s="9"/>
    </row>
    <row r="435" hidden="1">
      <c r="A435" s="9"/>
      <c r="B435" s="9"/>
      <c r="C435" s="9"/>
    </row>
    <row r="436" hidden="1">
      <c r="A436" s="9"/>
      <c r="B436" s="9"/>
      <c r="C436" s="9"/>
    </row>
    <row r="437" hidden="1">
      <c r="A437" s="9"/>
      <c r="B437" s="9"/>
      <c r="C437" s="9"/>
    </row>
    <row r="438" hidden="1">
      <c r="A438" s="9"/>
      <c r="B438" s="9"/>
      <c r="C438" s="9"/>
    </row>
    <row r="439" hidden="1">
      <c r="A439" s="9"/>
      <c r="B439" s="9"/>
      <c r="C439" s="9"/>
    </row>
    <row r="440" hidden="1">
      <c r="A440" s="9"/>
      <c r="B440" s="9"/>
      <c r="C440" s="9"/>
    </row>
    <row r="441" hidden="1">
      <c r="A441" s="9"/>
      <c r="B441" s="9"/>
      <c r="C441" s="9"/>
    </row>
    <row r="442" hidden="1">
      <c r="A442" s="9"/>
      <c r="B442" s="9"/>
      <c r="C442" s="9"/>
    </row>
    <row r="443" hidden="1">
      <c r="A443" s="9"/>
      <c r="B443" s="9"/>
      <c r="C443" s="9"/>
    </row>
    <row r="444" hidden="1">
      <c r="A444" s="9"/>
      <c r="B444" s="9"/>
      <c r="C444" s="9"/>
    </row>
    <row r="445" hidden="1">
      <c r="A445" s="9"/>
      <c r="B445" s="9"/>
      <c r="C445" s="9"/>
    </row>
    <row r="446" hidden="1">
      <c r="A446" s="9"/>
      <c r="B446" s="9"/>
      <c r="C446" s="9"/>
    </row>
    <row r="447" hidden="1">
      <c r="A447" s="9"/>
      <c r="B447" s="9"/>
      <c r="C447" s="9"/>
    </row>
    <row r="448" hidden="1">
      <c r="A448" s="9"/>
      <c r="B448" s="9"/>
      <c r="C448" s="9"/>
    </row>
    <row r="449" hidden="1">
      <c r="A449" s="9"/>
      <c r="B449" s="9"/>
      <c r="C449" s="9"/>
    </row>
    <row r="450" hidden="1">
      <c r="A450" s="9"/>
      <c r="B450" s="9"/>
      <c r="C450" s="9"/>
    </row>
    <row r="451" hidden="1">
      <c r="A451" s="9"/>
      <c r="B451" s="9"/>
      <c r="C451" s="9"/>
    </row>
    <row r="452" hidden="1">
      <c r="A452" s="9"/>
      <c r="B452" s="9"/>
      <c r="C452" s="9"/>
    </row>
    <row r="453" hidden="1">
      <c r="A453" s="9"/>
      <c r="B453" s="9"/>
      <c r="C453" s="9"/>
    </row>
    <row r="454" hidden="1">
      <c r="A454" s="9"/>
      <c r="B454" s="9"/>
      <c r="C454" s="9"/>
    </row>
    <row r="455" hidden="1">
      <c r="A455" s="9"/>
      <c r="B455" s="9"/>
      <c r="C455" s="9"/>
    </row>
    <row r="456" hidden="1">
      <c r="A456" s="9"/>
      <c r="B456" s="9"/>
      <c r="C456" s="9"/>
    </row>
    <row r="457" hidden="1">
      <c r="A457" s="9"/>
      <c r="B457" s="9"/>
      <c r="C457" s="9"/>
    </row>
    <row r="458" hidden="1">
      <c r="A458" s="9"/>
      <c r="B458" s="9"/>
      <c r="C458" s="9"/>
    </row>
    <row r="459" hidden="1">
      <c r="A459" s="9"/>
      <c r="B459" s="9"/>
      <c r="C459" s="9"/>
    </row>
    <row r="460" hidden="1">
      <c r="A460" s="9"/>
      <c r="B460" s="9"/>
      <c r="C460" s="9"/>
    </row>
    <row r="461" hidden="1">
      <c r="A461" s="9"/>
      <c r="B461" s="9"/>
      <c r="C461" s="9"/>
    </row>
    <row r="462" hidden="1">
      <c r="A462" s="9"/>
      <c r="B462" s="9"/>
      <c r="C462" s="9"/>
    </row>
    <row r="463" hidden="1">
      <c r="A463" s="9"/>
      <c r="B463" s="9"/>
      <c r="C463" s="9"/>
    </row>
    <row r="464" hidden="1">
      <c r="A464" s="9"/>
      <c r="B464" s="9"/>
      <c r="C464" s="9"/>
    </row>
    <row r="465" hidden="1">
      <c r="A465" s="9"/>
      <c r="B465" s="9"/>
      <c r="C465" s="9"/>
    </row>
    <row r="466" hidden="1">
      <c r="A466" s="9"/>
      <c r="B466" s="9"/>
      <c r="C466" s="9"/>
    </row>
    <row r="467" hidden="1">
      <c r="A467" s="9"/>
      <c r="B467" s="9"/>
      <c r="C467" s="9"/>
    </row>
    <row r="468" hidden="1">
      <c r="A468" s="9"/>
      <c r="B468" s="9"/>
      <c r="C468" s="9"/>
    </row>
    <row r="469" hidden="1">
      <c r="A469" s="9"/>
      <c r="B469" s="9"/>
      <c r="C469" s="9"/>
    </row>
    <row r="470" hidden="1">
      <c r="A470" s="9"/>
      <c r="B470" s="9"/>
      <c r="C470" s="9"/>
    </row>
    <row r="471" hidden="1">
      <c r="A471" s="9"/>
      <c r="B471" s="9"/>
      <c r="C471" s="9"/>
    </row>
    <row r="472" hidden="1">
      <c r="A472" s="9"/>
      <c r="B472" s="9"/>
      <c r="C472" s="9"/>
    </row>
    <row r="473" hidden="1">
      <c r="A473" s="9"/>
      <c r="B473" s="9"/>
      <c r="C473" s="9"/>
    </row>
    <row r="474" hidden="1">
      <c r="A474" s="9"/>
      <c r="B474" s="9"/>
      <c r="C474" s="9"/>
    </row>
    <row r="475" hidden="1">
      <c r="A475" s="9"/>
      <c r="B475" s="9"/>
      <c r="C475" s="9"/>
    </row>
    <row r="476" hidden="1">
      <c r="A476" s="9"/>
      <c r="B476" s="9"/>
      <c r="C476" s="9"/>
    </row>
    <row r="477" hidden="1">
      <c r="A477" s="9"/>
      <c r="B477" s="9"/>
      <c r="C477" s="9"/>
    </row>
    <row r="478" hidden="1">
      <c r="A478" s="9"/>
      <c r="B478" s="9"/>
      <c r="C478" s="9"/>
    </row>
    <row r="479" hidden="1">
      <c r="A479" s="9"/>
      <c r="B479" s="9"/>
      <c r="C479" s="9"/>
    </row>
    <row r="480" hidden="1">
      <c r="A480" s="9"/>
      <c r="B480" s="9"/>
      <c r="C480" s="9"/>
    </row>
    <row r="481" hidden="1">
      <c r="A481" s="9"/>
      <c r="B481" s="9"/>
      <c r="C481" s="9"/>
    </row>
    <row r="482" hidden="1">
      <c r="A482" s="9"/>
      <c r="B482" s="9"/>
      <c r="C482" s="9"/>
    </row>
    <row r="483" hidden="1">
      <c r="A483" s="9"/>
      <c r="B483" s="9"/>
      <c r="C483" s="9"/>
    </row>
    <row r="484" hidden="1">
      <c r="A484" s="9"/>
      <c r="B484" s="9"/>
      <c r="C484" s="9"/>
    </row>
    <row r="485" hidden="1">
      <c r="A485" s="9"/>
      <c r="B485" s="9"/>
      <c r="C485" s="9"/>
    </row>
    <row r="486" hidden="1">
      <c r="A486" s="9"/>
      <c r="B486" s="9"/>
      <c r="C486" s="9"/>
    </row>
    <row r="487" hidden="1">
      <c r="A487" s="9"/>
      <c r="B487" s="9"/>
      <c r="C487" s="9"/>
    </row>
    <row r="488" hidden="1">
      <c r="A488" s="9"/>
      <c r="B488" s="9"/>
      <c r="C488" s="9"/>
    </row>
    <row r="489" hidden="1">
      <c r="A489" s="9"/>
      <c r="B489" s="9"/>
      <c r="C489" s="9"/>
    </row>
    <row r="490" hidden="1">
      <c r="A490" s="9"/>
      <c r="B490" s="9"/>
      <c r="C490" s="9"/>
    </row>
    <row r="491" hidden="1">
      <c r="A491" s="9"/>
      <c r="B491" s="9"/>
      <c r="C491" s="9"/>
    </row>
    <row r="492" hidden="1">
      <c r="A492" s="9"/>
      <c r="B492" s="9"/>
      <c r="C492" s="9"/>
    </row>
    <row r="493" hidden="1">
      <c r="A493" s="9"/>
      <c r="B493" s="9"/>
      <c r="C493" s="9"/>
    </row>
    <row r="494" hidden="1">
      <c r="A494" s="9"/>
      <c r="B494" s="9"/>
      <c r="C494" s="9"/>
    </row>
    <row r="495" hidden="1">
      <c r="A495" s="9"/>
      <c r="B495" s="9"/>
      <c r="C495" s="9"/>
    </row>
    <row r="496" hidden="1">
      <c r="A496" s="9"/>
      <c r="B496" s="9"/>
      <c r="C496" s="9"/>
    </row>
    <row r="497" hidden="1">
      <c r="A497" s="9"/>
      <c r="B497" s="9"/>
      <c r="C497" s="9"/>
    </row>
    <row r="498" hidden="1">
      <c r="A498" s="9"/>
      <c r="B498" s="9"/>
      <c r="C498" s="9"/>
    </row>
    <row r="499" hidden="1">
      <c r="A499" s="9"/>
      <c r="B499" s="9"/>
      <c r="C499" s="9"/>
    </row>
    <row r="500" hidden="1">
      <c r="A500" s="9"/>
      <c r="B500" s="9"/>
      <c r="C500" s="9"/>
    </row>
    <row r="501" hidden="1">
      <c r="A501" s="9"/>
      <c r="B501" s="9"/>
      <c r="C501" s="9"/>
    </row>
    <row r="502" hidden="1">
      <c r="A502" s="9"/>
      <c r="B502" s="9"/>
      <c r="C502" s="9"/>
    </row>
    <row r="503" hidden="1">
      <c r="A503" s="9"/>
      <c r="B503" s="9"/>
      <c r="C503" s="9"/>
    </row>
    <row r="504" hidden="1">
      <c r="A504" s="9"/>
      <c r="B504" s="9"/>
      <c r="C504" s="9"/>
    </row>
    <row r="505" hidden="1">
      <c r="A505" s="9"/>
      <c r="B505" s="9"/>
      <c r="C505" s="9"/>
    </row>
    <row r="506" hidden="1">
      <c r="A506" s="9"/>
      <c r="B506" s="9"/>
      <c r="C506" s="9"/>
    </row>
    <row r="507" hidden="1">
      <c r="A507" s="9"/>
      <c r="B507" s="9"/>
      <c r="C507" s="9"/>
    </row>
    <row r="508" hidden="1">
      <c r="A508" s="9"/>
      <c r="B508" s="9"/>
      <c r="C508" s="9"/>
    </row>
    <row r="509" hidden="1">
      <c r="A509" s="9"/>
      <c r="B509" s="9"/>
      <c r="C509" s="9"/>
    </row>
    <row r="510" hidden="1">
      <c r="A510" s="9"/>
      <c r="B510" s="9"/>
      <c r="C510" s="9"/>
    </row>
    <row r="511" hidden="1">
      <c r="A511" s="9"/>
      <c r="B511" s="9"/>
      <c r="C511" s="9"/>
    </row>
    <row r="512" hidden="1">
      <c r="A512" s="9"/>
      <c r="B512" s="9"/>
      <c r="C512" s="9"/>
    </row>
    <row r="513" hidden="1">
      <c r="A513" s="9"/>
      <c r="B513" s="9"/>
      <c r="C513" s="9"/>
    </row>
    <row r="514" hidden="1">
      <c r="A514" s="9"/>
      <c r="B514" s="9"/>
      <c r="C514" s="9"/>
    </row>
    <row r="515" hidden="1">
      <c r="A515" s="9"/>
      <c r="B515" s="9"/>
      <c r="C515" s="9"/>
    </row>
    <row r="516" hidden="1">
      <c r="A516" s="9"/>
      <c r="B516" s="9"/>
      <c r="C516" s="9"/>
    </row>
    <row r="517" hidden="1">
      <c r="A517" s="9"/>
      <c r="B517" s="9"/>
      <c r="C517" s="9"/>
    </row>
    <row r="518" hidden="1">
      <c r="A518" s="9"/>
      <c r="B518" s="9"/>
      <c r="C518" s="9"/>
    </row>
    <row r="519" hidden="1">
      <c r="A519" s="9"/>
      <c r="B519" s="9"/>
      <c r="C519" s="9"/>
    </row>
    <row r="520" hidden="1">
      <c r="A520" s="9"/>
      <c r="B520" s="9"/>
      <c r="C520" s="9"/>
    </row>
    <row r="521" hidden="1">
      <c r="A521" s="9"/>
      <c r="B521" s="9"/>
      <c r="C521" s="9"/>
    </row>
    <row r="522" hidden="1">
      <c r="A522" s="9"/>
      <c r="B522" s="9"/>
      <c r="C522" s="9"/>
    </row>
    <row r="523" hidden="1">
      <c r="A523" s="9"/>
      <c r="B523" s="9"/>
      <c r="C523" s="9"/>
    </row>
    <row r="524" hidden="1">
      <c r="A524" s="9"/>
      <c r="B524" s="9"/>
      <c r="C524" s="9"/>
    </row>
    <row r="525" hidden="1">
      <c r="A525" s="9"/>
      <c r="B525" s="9"/>
      <c r="C525" s="9"/>
    </row>
    <row r="526" hidden="1">
      <c r="A526" s="9"/>
      <c r="B526" s="9"/>
      <c r="C526" s="9"/>
    </row>
    <row r="527" hidden="1">
      <c r="A527" s="9"/>
      <c r="B527" s="9"/>
      <c r="C527" s="9"/>
    </row>
    <row r="528" hidden="1">
      <c r="A528" s="9"/>
      <c r="B528" s="9"/>
      <c r="C528" s="9"/>
    </row>
    <row r="529" hidden="1">
      <c r="A529" s="9"/>
      <c r="B529" s="9"/>
      <c r="C529" s="9"/>
    </row>
    <row r="530" hidden="1">
      <c r="A530" s="9"/>
      <c r="B530" s="9"/>
      <c r="C530" s="9"/>
    </row>
    <row r="531" hidden="1">
      <c r="A531" s="9"/>
      <c r="B531" s="9"/>
      <c r="C531" s="9"/>
    </row>
    <row r="532" hidden="1">
      <c r="A532" s="9"/>
      <c r="B532" s="9"/>
      <c r="C532" s="9"/>
    </row>
    <row r="533" hidden="1">
      <c r="A533" s="9"/>
      <c r="B533" s="9"/>
      <c r="C533" s="9"/>
    </row>
    <row r="534" hidden="1">
      <c r="A534" s="9"/>
      <c r="B534" s="9"/>
      <c r="C534" s="9"/>
    </row>
    <row r="535" hidden="1">
      <c r="A535" s="9"/>
      <c r="B535" s="9"/>
      <c r="C535" s="9"/>
    </row>
    <row r="536" hidden="1">
      <c r="A536" s="9"/>
      <c r="B536" s="9"/>
      <c r="C536" s="9"/>
    </row>
    <row r="537" hidden="1">
      <c r="A537" s="9"/>
      <c r="B537" s="9"/>
      <c r="C537" s="9"/>
    </row>
    <row r="538" hidden="1">
      <c r="A538" s="9"/>
      <c r="B538" s="9"/>
      <c r="C538" s="9"/>
    </row>
    <row r="539" hidden="1">
      <c r="A539" s="9"/>
      <c r="B539" s="9"/>
      <c r="C539" s="9"/>
    </row>
    <row r="540" hidden="1">
      <c r="A540" s="9"/>
      <c r="B540" s="9"/>
      <c r="C540" s="9"/>
    </row>
    <row r="541" hidden="1">
      <c r="A541" s="9"/>
      <c r="B541" s="9"/>
      <c r="C541" s="9"/>
    </row>
    <row r="542" hidden="1">
      <c r="A542" s="9"/>
      <c r="B542" s="9"/>
      <c r="C542" s="9"/>
    </row>
    <row r="543" hidden="1">
      <c r="A543" s="9"/>
      <c r="B543" s="9"/>
      <c r="C543" s="9"/>
    </row>
    <row r="544" hidden="1">
      <c r="A544" s="9"/>
      <c r="B544" s="9"/>
      <c r="C544" s="9"/>
    </row>
    <row r="545" hidden="1">
      <c r="A545" s="9"/>
      <c r="B545" s="9"/>
      <c r="C545" s="9"/>
    </row>
    <row r="546" hidden="1">
      <c r="A546" s="9"/>
      <c r="B546" s="9"/>
      <c r="C546" s="9"/>
    </row>
    <row r="547" hidden="1">
      <c r="A547" s="9"/>
      <c r="B547" s="9"/>
      <c r="C547" s="9"/>
    </row>
    <row r="548" hidden="1">
      <c r="A548" s="9"/>
      <c r="B548" s="9"/>
      <c r="C548" s="9"/>
    </row>
    <row r="549" hidden="1">
      <c r="A549" s="9"/>
      <c r="B549" s="9"/>
      <c r="C549" s="9"/>
    </row>
    <row r="550" hidden="1">
      <c r="A550" s="9"/>
      <c r="B550" s="9"/>
      <c r="C550" s="9"/>
    </row>
    <row r="551" hidden="1">
      <c r="A551" s="9"/>
      <c r="B551" s="9"/>
      <c r="C551" s="9"/>
    </row>
    <row r="552" hidden="1">
      <c r="A552" s="9"/>
      <c r="B552" s="9"/>
      <c r="C552" s="9"/>
    </row>
    <row r="553" hidden="1">
      <c r="A553" s="9"/>
      <c r="B553" s="9"/>
      <c r="C553" s="9"/>
    </row>
    <row r="554" hidden="1">
      <c r="A554" s="9"/>
      <c r="B554" s="9"/>
      <c r="C554" s="9"/>
    </row>
    <row r="555" hidden="1">
      <c r="A555" s="9"/>
      <c r="B555" s="9"/>
      <c r="C555" s="9"/>
    </row>
    <row r="556" hidden="1">
      <c r="A556" s="9"/>
      <c r="B556" s="9"/>
      <c r="C556" s="9"/>
    </row>
    <row r="557" hidden="1">
      <c r="A557" s="9"/>
      <c r="B557" s="9"/>
      <c r="C557" s="9"/>
    </row>
    <row r="558" hidden="1">
      <c r="A558" s="9"/>
      <c r="B558" s="9"/>
      <c r="C558" s="9"/>
    </row>
    <row r="559" hidden="1">
      <c r="A559" s="9"/>
      <c r="B559" s="9"/>
      <c r="C559" s="9"/>
    </row>
    <row r="560" hidden="1">
      <c r="A560" s="9"/>
      <c r="B560" s="9"/>
      <c r="C560" s="9"/>
    </row>
    <row r="561" hidden="1">
      <c r="A561" s="9"/>
      <c r="B561" s="9"/>
      <c r="C561" s="9"/>
    </row>
    <row r="562" hidden="1">
      <c r="A562" s="9"/>
      <c r="B562" s="9"/>
      <c r="C562" s="9"/>
    </row>
    <row r="563" hidden="1">
      <c r="A563" s="9"/>
      <c r="B563" s="9"/>
      <c r="C563" s="9"/>
    </row>
    <row r="564" hidden="1">
      <c r="A564" s="9"/>
      <c r="B564" s="9"/>
      <c r="C564" s="9"/>
    </row>
    <row r="565" hidden="1">
      <c r="A565" s="9"/>
      <c r="B565" s="9"/>
      <c r="C565" s="9"/>
    </row>
    <row r="566" hidden="1">
      <c r="A566" s="9"/>
      <c r="B566" s="9"/>
      <c r="C566" s="9"/>
    </row>
    <row r="567" hidden="1">
      <c r="A567" s="9"/>
      <c r="B567" s="9"/>
      <c r="C567" s="9"/>
    </row>
    <row r="568" hidden="1">
      <c r="A568" s="9"/>
      <c r="B568" s="9"/>
      <c r="C568" s="9"/>
    </row>
    <row r="569" hidden="1">
      <c r="A569" s="9"/>
      <c r="B569" s="9"/>
      <c r="C569" s="9"/>
    </row>
    <row r="570" hidden="1">
      <c r="A570" s="9"/>
      <c r="B570" s="9"/>
      <c r="C570" s="9"/>
    </row>
    <row r="571" hidden="1">
      <c r="A571" s="9"/>
      <c r="B571" s="9"/>
      <c r="C571" s="9"/>
    </row>
    <row r="572" hidden="1">
      <c r="A572" s="9"/>
      <c r="B572" s="9"/>
      <c r="C572" s="9"/>
    </row>
    <row r="573" hidden="1">
      <c r="A573" s="9"/>
      <c r="B573" s="9"/>
      <c r="C573" s="9"/>
    </row>
    <row r="574" hidden="1">
      <c r="A574" s="9"/>
      <c r="B574" s="9"/>
      <c r="C574" s="9"/>
    </row>
    <row r="575" hidden="1">
      <c r="A575" s="9"/>
      <c r="B575" s="9"/>
      <c r="C575" s="9"/>
    </row>
    <row r="576" hidden="1">
      <c r="A576" s="9"/>
      <c r="B576" s="9"/>
      <c r="C576" s="9"/>
    </row>
    <row r="577" hidden="1">
      <c r="A577" s="9"/>
      <c r="B577" s="9"/>
      <c r="C577" s="9"/>
    </row>
    <row r="578" hidden="1">
      <c r="A578" s="9"/>
      <c r="B578" s="9"/>
      <c r="C578" s="9"/>
    </row>
    <row r="579" hidden="1">
      <c r="A579" s="9"/>
      <c r="B579" s="9"/>
      <c r="C579" s="9"/>
    </row>
    <row r="580" hidden="1">
      <c r="A580" s="9"/>
      <c r="B580" s="9"/>
      <c r="C580" s="9"/>
    </row>
    <row r="581" hidden="1">
      <c r="A581" s="9"/>
      <c r="B581" s="9"/>
      <c r="C581" s="9"/>
    </row>
    <row r="582" hidden="1">
      <c r="A582" s="9"/>
      <c r="B582" s="9"/>
      <c r="C582" s="9"/>
    </row>
    <row r="583" hidden="1">
      <c r="A583" s="9"/>
      <c r="B583" s="9"/>
      <c r="C583" s="9"/>
    </row>
    <row r="584" hidden="1">
      <c r="A584" s="9"/>
      <c r="B584" s="9"/>
      <c r="C584" s="9"/>
    </row>
    <row r="585" hidden="1">
      <c r="A585" s="9"/>
      <c r="B585" s="9"/>
      <c r="C585" s="9"/>
    </row>
    <row r="586" hidden="1">
      <c r="A586" s="9"/>
      <c r="B586" s="9"/>
      <c r="C586" s="9"/>
    </row>
    <row r="587" hidden="1">
      <c r="A587" s="9"/>
      <c r="B587" s="9"/>
      <c r="C587" s="9"/>
    </row>
    <row r="588" hidden="1">
      <c r="A588" s="9"/>
      <c r="B588" s="9"/>
      <c r="C588" s="9"/>
    </row>
    <row r="589" hidden="1">
      <c r="A589" s="9"/>
      <c r="B589" s="9"/>
      <c r="C589" s="9"/>
    </row>
    <row r="590" hidden="1">
      <c r="A590" s="9"/>
      <c r="B590" s="9"/>
      <c r="C590" s="9"/>
    </row>
    <row r="591" hidden="1">
      <c r="A591" s="9"/>
      <c r="B591" s="9"/>
      <c r="C591" s="9"/>
    </row>
    <row r="592" hidden="1">
      <c r="A592" s="9"/>
      <c r="B592" s="9"/>
      <c r="C592" s="9"/>
    </row>
    <row r="593" hidden="1">
      <c r="A593" s="9"/>
      <c r="B593" s="9"/>
      <c r="C593" s="9"/>
    </row>
    <row r="594" hidden="1">
      <c r="A594" s="9"/>
      <c r="B594" s="9"/>
      <c r="C594" s="9"/>
    </row>
    <row r="595" hidden="1">
      <c r="A595" s="9"/>
      <c r="B595" s="9"/>
      <c r="C595" s="9"/>
    </row>
    <row r="596" hidden="1">
      <c r="A596" s="9"/>
      <c r="B596" s="9"/>
      <c r="C596" s="9"/>
    </row>
    <row r="597" hidden="1">
      <c r="A597" s="9"/>
      <c r="B597" s="9"/>
      <c r="C597" s="9"/>
    </row>
    <row r="598" hidden="1">
      <c r="A598" s="9"/>
      <c r="B598" s="9"/>
      <c r="C598" s="9"/>
    </row>
    <row r="599" hidden="1">
      <c r="A599" s="9"/>
      <c r="B599" s="9"/>
      <c r="C599" s="9"/>
    </row>
    <row r="600" hidden="1">
      <c r="A600" s="9"/>
      <c r="B600" s="9"/>
      <c r="C600" s="9"/>
    </row>
    <row r="601" hidden="1">
      <c r="A601" s="9"/>
      <c r="B601" s="9"/>
      <c r="C601" s="9"/>
    </row>
    <row r="602" hidden="1">
      <c r="A602" s="9"/>
      <c r="B602" s="9"/>
      <c r="C602" s="9"/>
    </row>
    <row r="603" hidden="1">
      <c r="A603" s="9"/>
      <c r="B603" s="9"/>
      <c r="C603" s="9"/>
    </row>
    <row r="604" hidden="1">
      <c r="A604" s="9"/>
      <c r="B604" s="9"/>
      <c r="C604" s="9"/>
    </row>
    <row r="605" hidden="1">
      <c r="A605" s="9"/>
      <c r="B605" s="9"/>
      <c r="C605" s="9"/>
    </row>
    <row r="606" hidden="1">
      <c r="A606" s="9"/>
      <c r="B606" s="9"/>
      <c r="C606" s="9"/>
    </row>
    <row r="607" hidden="1">
      <c r="A607" s="9"/>
      <c r="B607" s="9"/>
      <c r="C607" s="9"/>
    </row>
    <row r="608" hidden="1">
      <c r="A608" s="9"/>
      <c r="B608" s="9"/>
      <c r="C608" s="9"/>
    </row>
    <row r="609" hidden="1">
      <c r="A609" s="9"/>
      <c r="B609" s="9"/>
      <c r="C609" s="9"/>
    </row>
    <row r="610" hidden="1">
      <c r="A610" s="9"/>
      <c r="B610" s="9"/>
      <c r="C610" s="9"/>
    </row>
    <row r="611" hidden="1">
      <c r="A611" s="9"/>
      <c r="B611" s="9"/>
      <c r="C611" s="9"/>
    </row>
    <row r="612" hidden="1">
      <c r="A612" s="9"/>
      <c r="B612" s="9"/>
      <c r="C612" s="9"/>
    </row>
    <row r="613" hidden="1">
      <c r="A613" s="9"/>
      <c r="B613" s="9"/>
      <c r="C613" s="9"/>
    </row>
    <row r="614" hidden="1">
      <c r="A614" s="9"/>
      <c r="B614" s="9"/>
      <c r="C614" s="9"/>
    </row>
    <row r="615" hidden="1">
      <c r="A615" s="9"/>
      <c r="B615" s="9"/>
      <c r="C615" s="9"/>
    </row>
    <row r="616" hidden="1">
      <c r="A616" s="9"/>
      <c r="B616" s="9"/>
      <c r="C616" s="9"/>
    </row>
    <row r="617" hidden="1">
      <c r="A617" s="9"/>
      <c r="B617" s="9"/>
      <c r="C617" s="9"/>
    </row>
    <row r="618" hidden="1">
      <c r="A618" s="9"/>
      <c r="B618" s="9"/>
      <c r="C618" s="9"/>
    </row>
    <row r="619" hidden="1">
      <c r="A619" s="9"/>
      <c r="B619" s="9"/>
      <c r="C619" s="9"/>
    </row>
    <row r="620" hidden="1">
      <c r="A620" s="9"/>
      <c r="B620" s="9"/>
      <c r="C620" s="9"/>
    </row>
    <row r="621" hidden="1">
      <c r="A621" s="9"/>
      <c r="B621" s="9"/>
      <c r="C621" s="9"/>
    </row>
    <row r="622" hidden="1">
      <c r="A622" s="9"/>
      <c r="B622" s="9"/>
      <c r="C622" s="9"/>
    </row>
    <row r="623" hidden="1">
      <c r="A623" s="9"/>
      <c r="B623" s="9"/>
      <c r="C623" s="9"/>
    </row>
    <row r="624" hidden="1">
      <c r="A624" s="9"/>
      <c r="B624" s="9"/>
      <c r="C624" s="9"/>
    </row>
    <row r="625" hidden="1">
      <c r="A625" s="9"/>
      <c r="B625" s="9"/>
      <c r="C625" s="9"/>
    </row>
    <row r="626" hidden="1">
      <c r="A626" s="9"/>
      <c r="B626" s="9"/>
      <c r="C626" s="9"/>
    </row>
    <row r="627" hidden="1">
      <c r="A627" s="9"/>
      <c r="B627" s="9"/>
      <c r="C627" s="9"/>
    </row>
    <row r="628" hidden="1">
      <c r="A628" s="9"/>
      <c r="B628" s="9"/>
      <c r="C628" s="9"/>
    </row>
    <row r="629" hidden="1">
      <c r="A629" s="9"/>
      <c r="B629" s="9"/>
      <c r="C629" s="9"/>
    </row>
    <row r="630" hidden="1">
      <c r="A630" s="9"/>
      <c r="B630" s="9"/>
      <c r="C630" s="9"/>
    </row>
    <row r="631" hidden="1">
      <c r="A631" s="9"/>
      <c r="B631" s="9"/>
      <c r="C631" s="9"/>
    </row>
    <row r="632" hidden="1">
      <c r="A632" s="9"/>
      <c r="B632" s="9"/>
      <c r="C632" s="9"/>
    </row>
    <row r="633" hidden="1">
      <c r="A633" s="9"/>
      <c r="B633" s="9"/>
      <c r="C633" s="9"/>
    </row>
    <row r="634" hidden="1">
      <c r="A634" s="9"/>
      <c r="B634" s="9"/>
      <c r="C634" s="9"/>
    </row>
    <row r="635" hidden="1">
      <c r="A635" s="9"/>
      <c r="B635" s="9"/>
      <c r="C635" s="9"/>
    </row>
    <row r="636" hidden="1">
      <c r="A636" s="9"/>
      <c r="B636" s="9"/>
      <c r="C636" s="9"/>
    </row>
    <row r="637" hidden="1">
      <c r="A637" s="9"/>
      <c r="B637" s="9"/>
      <c r="C637" s="9"/>
    </row>
    <row r="638" hidden="1">
      <c r="A638" s="9"/>
      <c r="B638" s="9"/>
      <c r="C638" s="9"/>
    </row>
    <row r="639" hidden="1">
      <c r="A639" s="9"/>
      <c r="B639" s="9"/>
      <c r="C639" s="9"/>
    </row>
    <row r="640" hidden="1">
      <c r="A640" s="9"/>
      <c r="B640" s="9"/>
      <c r="C640" s="9"/>
    </row>
    <row r="641" hidden="1">
      <c r="A641" s="9"/>
      <c r="B641" s="9"/>
      <c r="C641" s="9"/>
    </row>
    <row r="642" hidden="1">
      <c r="A642" s="9"/>
      <c r="B642" s="9"/>
      <c r="C642" s="9"/>
    </row>
    <row r="643" hidden="1">
      <c r="A643" s="9"/>
      <c r="B643" s="9"/>
      <c r="C643" s="9"/>
    </row>
    <row r="644" hidden="1">
      <c r="A644" s="9"/>
      <c r="B644" s="9"/>
      <c r="C644" s="9"/>
    </row>
    <row r="645" hidden="1">
      <c r="A645" s="9"/>
      <c r="B645" s="9"/>
      <c r="C645" s="9"/>
    </row>
    <row r="646" hidden="1">
      <c r="A646" s="9"/>
      <c r="B646" s="9"/>
      <c r="C646" s="9"/>
    </row>
    <row r="647" hidden="1">
      <c r="A647" s="9"/>
      <c r="B647" s="9"/>
      <c r="C647" s="9"/>
    </row>
    <row r="648" hidden="1">
      <c r="A648" s="9"/>
      <c r="B648" s="9"/>
      <c r="C648" s="9"/>
    </row>
    <row r="649" hidden="1">
      <c r="A649" s="9"/>
      <c r="B649" s="9"/>
      <c r="C649" s="9"/>
    </row>
    <row r="650" hidden="1">
      <c r="A650" s="9"/>
      <c r="B650" s="9"/>
      <c r="C650" s="9"/>
    </row>
    <row r="651" hidden="1">
      <c r="A651" s="9"/>
      <c r="B651" s="9"/>
      <c r="C651" s="9"/>
    </row>
    <row r="652" hidden="1">
      <c r="A652" s="9"/>
      <c r="B652" s="9"/>
      <c r="C652" s="9"/>
    </row>
    <row r="653" hidden="1">
      <c r="A653" s="9"/>
      <c r="B653" s="9"/>
      <c r="C653" s="9"/>
    </row>
    <row r="654" hidden="1">
      <c r="A654" s="9"/>
      <c r="B654" s="9"/>
      <c r="C654" s="9"/>
    </row>
    <row r="655" hidden="1">
      <c r="A655" s="9"/>
      <c r="B655" s="9"/>
      <c r="C655" s="9"/>
    </row>
    <row r="656" hidden="1">
      <c r="A656" s="9"/>
      <c r="B656" s="9"/>
      <c r="C656" s="9"/>
    </row>
    <row r="657" hidden="1">
      <c r="A657" s="9"/>
      <c r="B657" s="9"/>
      <c r="C657" s="9"/>
    </row>
    <row r="658" hidden="1">
      <c r="A658" s="9"/>
      <c r="B658" s="9"/>
      <c r="C658" s="9"/>
    </row>
    <row r="659" hidden="1">
      <c r="A659" s="9"/>
      <c r="B659" s="9"/>
      <c r="C659" s="9"/>
    </row>
    <row r="660" hidden="1">
      <c r="A660" s="9"/>
      <c r="B660" s="9"/>
      <c r="C660" s="9"/>
    </row>
    <row r="661" hidden="1">
      <c r="A661" s="9"/>
      <c r="B661" s="9"/>
      <c r="C661" s="9"/>
    </row>
    <row r="662" hidden="1">
      <c r="A662" s="9"/>
      <c r="B662" s="9"/>
      <c r="C662" s="9"/>
    </row>
    <row r="663" hidden="1">
      <c r="A663" s="9"/>
      <c r="B663" s="9"/>
      <c r="C663" s="9"/>
    </row>
    <row r="664" hidden="1">
      <c r="A664" s="9"/>
      <c r="B664" s="9"/>
      <c r="C664" s="9"/>
    </row>
    <row r="665" hidden="1">
      <c r="A665" s="9"/>
      <c r="B665" s="9"/>
      <c r="C665" s="9"/>
    </row>
    <row r="666" hidden="1">
      <c r="A666" s="9"/>
      <c r="B666" s="9"/>
      <c r="C666" s="9"/>
    </row>
    <row r="667" hidden="1">
      <c r="A667" s="9"/>
      <c r="B667" s="9"/>
      <c r="C667" s="9"/>
    </row>
    <row r="668" hidden="1">
      <c r="A668" s="9"/>
      <c r="B668" s="9"/>
      <c r="C668" s="9"/>
    </row>
    <row r="669" hidden="1">
      <c r="A669" s="9"/>
      <c r="B669" s="9"/>
      <c r="C669" s="9"/>
    </row>
    <row r="670" hidden="1">
      <c r="A670" s="9"/>
      <c r="B670" s="9"/>
      <c r="C670" s="9"/>
    </row>
    <row r="671" hidden="1">
      <c r="A671" s="9"/>
      <c r="B671" s="9"/>
      <c r="C671" s="9"/>
    </row>
    <row r="672" hidden="1">
      <c r="A672" s="9"/>
      <c r="B672" s="9"/>
      <c r="C672" s="9"/>
    </row>
    <row r="673" hidden="1">
      <c r="A673" s="9"/>
      <c r="B673" s="9"/>
      <c r="C673" s="9"/>
    </row>
    <row r="674" hidden="1">
      <c r="A674" s="9"/>
      <c r="B674" s="9"/>
      <c r="C674" s="9"/>
    </row>
    <row r="675" hidden="1">
      <c r="A675" s="9"/>
      <c r="B675" s="9"/>
      <c r="C675" s="9"/>
    </row>
    <row r="676" hidden="1">
      <c r="A676" s="9"/>
      <c r="B676" s="9"/>
      <c r="C676" s="9"/>
    </row>
    <row r="677" hidden="1">
      <c r="A677" s="9"/>
      <c r="B677" s="9"/>
      <c r="C677" s="9"/>
    </row>
    <row r="678" hidden="1">
      <c r="A678" s="9"/>
      <c r="B678" s="9"/>
      <c r="C678" s="9"/>
    </row>
    <row r="679" hidden="1">
      <c r="A679" s="9"/>
      <c r="B679" s="9"/>
      <c r="C679" s="9"/>
    </row>
    <row r="680" hidden="1">
      <c r="A680" s="9"/>
      <c r="B680" s="9"/>
      <c r="C680" s="9"/>
    </row>
    <row r="681" hidden="1">
      <c r="A681" s="9"/>
      <c r="B681" s="9"/>
      <c r="C681" s="9"/>
    </row>
    <row r="682" hidden="1">
      <c r="A682" s="9"/>
      <c r="B682" s="9"/>
      <c r="C682" s="9"/>
    </row>
    <row r="683" hidden="1">
      <c r="A683" s="9"/>
      <c r="B683" s="9"/>
      <c r="C683" s="9"/>
    </row>
    <row r="684" hidden="1">
      <c r="A684" s="9"/>
      <c r="B684" s="9"/>
      <c r="C684" s="9"/>
    </row>
    <row r="685" hidden="1">
      <c r="A685" s="9"/>
      <c r="B685" s="9"/>
      <c r="C685" s="9"/>
    </row>
    <row r="686" hidden="1">
      <c r="A686" s="9"/>
      <c r="B686" s="9"/>
      <c r="C686" s="9"/>
    </row>
    <row r="687" hidden="1">
      <c r="A687" s="9"/>
      <c r="B687" s="9"/>
      <c r="C687" s="9"/>
    </row>
    <row r="688" hidden="1">
      <c r="A688" s="9"/>
      <c r="B688" s="9"/>
      <c r="C688" s="9"/>
    </row>
    <row r="689" hidden="1">
      <c r="A689" s="9"/>
      <c r="B689" s="9"/>
      <c r="C689" s="9"/>
    </row>
    <row r="690" hidden="1">
      <c r="A690" s="9"/>
      <c r="B690" s="9"/>
      <c r="C690" s="9"/>
    </row>
    <row r="691" hidden="1">
      <c r="A691" s="9"/>
      <c r="B691" s="9"/>
      <c r="C691" s="9"/>
    </row>
    <row r="692" hidden="1">
      <c r="A692" s="9"/>
      <c r="B692" s="9"/>
      <c r="C692" s="9"/>
    </row>
    <row r="693" hidden="1">
      <c r="A693" s="9"/>
      <c r="B693" s="9"/>
      <c r="C693" s="9"/>
    </row>
    <row r="694" hidden="1">
      <c r="A694" s="9"/>
      <c r="B694" s="9"/>
      <c r="C694" s="9"/>
    </row>
    <row r="695" hidden="1">
      <c r="A695" s="9"/>
      <c r="B695" s="9"/>
      <c r="C695" s="9"/>
    </row>
    <row r="696" hidden="1">
      <c r="A696" s="9"/>
      <c r="B696" s="9"/>
      <c r="C696" s="9"/>
    </row>
    <row r="697" hidden="1">
      <c r="A697" s="9"/>
      <c r="B697" s="9"/>
      <c r="C697" s="9"/>
    </row>
    <row r="698" hidden="1">
      <c r="A698" s="9"/>
      <c r="B698" s="9"/>
      <c r="C698" s="9"/>
    </row>
    <row r="699" hidden="1">
      <c r="A699" s="9"/>
      <c r="B699" s="9"/>
      <c r="C699" s="9"/>
    </row>
    <row r="700" hidden="1">
      <c r="A700" s="9"/>
      <c r="B700" s="9"/>
      <c r="C700" s="9"/>
    </row>
    <row r="701" hidden="1">
      <c r="A701" s="9"/>
      <c r="B701" s="9"/>
      <c r="C701" s="9"/>
    </row>
    <row r="702" hidden="1">
      <c r="A702" s="9"/>
      <c r="B702" s="9"/>
      <c r="C702" s="9"/>
    </row>
    <row r="703" hidden="1">
      <c r="A703" s="9"/>
      <c r="B703" s="9"/>
      <c r="C703" s="9"/>
    </row>
    <row r="704" hidden="1">
      <c r="A704" s="9"/>
      <c r="B704" s="9"/>
      <c r="C704" s="9"/>
    </row>
    <row r="705" hidden="1">
      <c r="A705" s="9"/>
      <c r="B705" s="9"/>
      <c r="C705" s="9"/>
    </row>
    <row r="706" hidden="1">
      <c r="A706" s="9"/>
      <c r="B706" s="9"/>
      <c r="C706" s="9"/>
    </row>
    <row r="707" hidden="1">
      <c r="A707" s="9"/>
      <c r="B707" s="9"/>
      <c r="C707" s="9"/>
    </row>
    <row r="708" hidden="1">
      <c r="A708" s="9"/>
      <c r="B708" s="9"/>
      <c r="C708" s="9"/>
    </row>
    <row r="709" hidden="1">
      <c r="A709" s="9"/>
      <c r="B709" s="9"/>
      <c r="C709" s="9"/>
    </row>
    <row r="710" hidden="1">
      <c r="A710" s="9"/>
      <c r="B710" s="9"/>
      <c r="C710" s="9"/>
    </row>
    <row r="711" hidden="1">
      <c r="A711" s="9"/>
      <c r="B711" s="9"/>
      <c r="C711" s="9"/>
    </row>
    <row r="712" hidden="1">
      <c r="A712" s="9"/>
      <c r="B712" s="9"/>
      <c r="C712" s="9"/>
    </row>
    <row r="713" hidden="1">
      <c r="A713" s="9"/>
      <c r="B713" s="9"/>
      <c r="C713" s="9"/>
    </row>
    <row r="714" hidden="1">
      <c r="A714" s="9"/>
      <c r="B714" s="9"/>
      <c r="C714" s="9"/>
    </row>
    <row r="715" hidden="1">
      <c r="A715" s="9"/>
      <c r="B715" s="9"/>
      <c r="C715" s="9"/>
    </row>
    <row r="716" hidden="1">
      <c r="A716" s="9"/>
      <c r="B716" s="9"/>
      <c r="C716" s="9"/>
    </row>
    <row r="717" hidden="1">
      <c r="A717" s="9"/>
      <c r="B717" s="9"/>
      <c r="C717" s="9"/>
    </row>
    <row r="718" hidden="1">
      <c r="A718" s="9"/>
      <c r="B718" s="9"/>
      <c r="C718" s="9"/>
    </row>
    <row r="719" hidden="1">
      <c r="A719" s="9"/>
      <c r="B719" s="9"/>
      <c r="C719" s="9"/>
    </row>
    <row r="720" hidden="1">
      <c r="A720" s="9"/>
      <c r="B720" s="9"/>
      <c r="C720" s="9"/>
    </row>
    <row r="721" hidden="1">
      <c r="A721" s="9"/>
      <c r="B721" s="9"/>
      <c r="C721" s="9"/>
    </row>
    <row r="722" hidden="1">
      <c r="A722" s="9"/>
      <c r="B722" s="9"/>
      <c r="C722" s="9"/>
    </row>
    <row r="723" hidden="1">
      <c r="A723" s="9"/>
      <c r="B723" s="9"/>
      <c r="C723" s="9"/>
    </row>
    <row r="724" hidden="1">
      <c r="A724" s="9"/>
      <c r="B724" s="9"/>
      <c r="C724" s="9"/>
    </row>
    <row r="725" hidden="1">
      <c r="A725" s="9"/>
      <c r="B725" s="9"/>
      <c r="C725" s="9"/>
    </row>
    <row r="726" hidden="1">
      <c r="A726" s="9"/>
      <c r="B726" s="9"/>
      <c r="C726" s="9"/>
    </row>
    <row r="727" hidden="1">
      <c r="A727" s="9"/>
      <c r="B727" s="9"/>
      <c r="C727" s="9"/>
    </row>
    <row r="728" hidden="1">
      <c r="A728" s="9"/>
      <c r="B728" s="9"/>
      <c r="C728" s="9"/>
    </row>
    <row r="729" hidden="1">
      <c r="A729" s="9"/>
      <c r="B729" s="9"/>
      <c r="C729" s="9"/>
    </row>
    <row r="730" hidden="1">
      <c r="A730" s="9"/>
      <c r="B730" s="9"/>
      <c r="C730" s="9"/>
    </row>
    <row r="731" hidden="1">
      <c r="A731" s="9"/>
      <c r="B731" s="9"/>
      <c r="C731" s="9"/>
    </row>
    <row r="732" hidden="1">
      <c r="A732" s="9"/>
      <c r="B732" s="9"/>
      <c r="C732" s="9"/>
    </row>
    <row r="733" hidden="1">
      <c r="A733" s="9"/>
      <c r="B733" s="9"/>
      <c r="C733" s="9"/>
    </row>
    <row r="734" hidden="1">
      <c r="A734" s="9"/>
      <c r="B734" s="9"/>
      <c r="C734" s="9"/>
    </row>
    <row r="735" hidden="1">
      <c r="A735" s="9"/>
      <c r="B735" s="9"/>
      <c r="C735" s="9"/>
    </row>
    <row r="736" hidden="1">
      <c r="A736" s="9"/>
      <c r="B736" s="9"/>
      <c r="C736" s="9"/>
    </row>
    <row r="737" hidden="1">
      <c r="A737" s="9"/>
      <c r="B737" s="9"/>
      <c r="C737" s="9"/>
    </row>
    <row r="738" hidden="1">
      <c r="A738" s="9"/>
      <c r="B738" s="9"/>
      <c r="C738" s="9"/>
    </row>
    <row r="739" hidden="1">
      <c r="A739" s="9"/>
      <c r="B739" s="9"/>
      <c r="C739" s="9"/>
    </row>
    <row r="740" hidden="1">
      <c r="A740" s="9"/>
      <c r="B740" s="9"/>
      <c r="C740" s="9"/>
    </row>
    <row r="741" hidden="1">
      <c r="A741" s="9"/>
      <c r="B741" s="9"/>
      <c r="C741" s="9"/>
    </row>
    <row r="742" hidden="1">
      <c r="A742" s="9"/>
      <c r="B742" s="9"/>
      <c r="C742" s="9"/>
    </row>
    <row r="743" hidden="1">
      <c r="A743" s="9"/>
      <c r="B743" s="9"/>
      <c r="C743" s="9"/>
    </row>
    <row r="744" hidden="1">
      <c r="A744" s="9"/>
      <c r="B744" s="9"/>
      <c r="C744" s="9"/>
    </row>
    <row r="745" hidden="1">
      <c r="A745" s="9"/>
      <c r="B745" s="9"/>
      <c r="C745" s="9"/>
    </row>
    <row r="746" hidden="1">
      <c r="A746" s="9"/>
      <c r="B746" s="9"/>
      <c r="C746" s="9"/>
    </row>
    <row r="747" hidden="1">
      <c r="A747" s="9"/>
      <c r="B747" s="9"/>
      <c r="C747" s="9"/>
    </row>
    <row r="748" hidden="1">
      <c r="A748" s="9"/>
      <c r="B748" s="9"/>
      <c r="C748" s="9"/>
    </row>
    <row r="749" hidden="1">
      <c r="A749" s="9"/>
      <c r="B749" s="9"/>
      <c r="C749" s="9"/>
    </row>
    <row r="750" hidden="1">
      <c r="A750" s="9"/>
      <c r="B750" s="9"/>
      <c r="C750" s="9"/>
    </row>
    <row r="751" hidden="1">
      <c r="A751" s="9"/>
      <c r="B751" s="9"/>
      <c r="C751" s="9"/>
    </row>
    <row r="752" hidden="1">
      <c r="A752" s="9"/>
      <c r="B752" s="9"/>
      <c r="C752" s="9"/>
    </row>
    <row r="753" hidden="1">
      <c r="A753" s="9"/>
      <c r="B753" s="9"/>
      <c r="C753" s="9"/>
    </row>
    <row r="754" hidden="1">
      <c r="A754" s="9"/>
      <c r="B754" s="9"/>
      <c r="C754" s="9"/>
    </row>
    <row r="755" hidden="1">
      <c r="A755" s="9"/>
      <c r="B755" s="9"/>
      <c r="C755" s="9"/>
    </row>
    <row r="756" hidden="1">
      <c r="A756" s="9"/>
      <c r="B756" s="9"/>
      <c r="C756" s="9"/>
    </row>
    <row r="757" hidden="1">
      <c r="A757" s="9"/>
      <c r="B757" s="9"/>
      <c r="C757" s="9"/>
    </row>
    <row r="758" hidden="1">
      <c r="A758" s="9"/>
      <c r="B758" s="9"/>
      <c r="C758" s="9"/>
    </row>
    <row r="759" hidden="1">
      <c r="A759" s="9"/>
      <c r="B759" s="9"/>
      <c r="C759" s="9"/>
    </row>
    <row r="760" hidden="1">
      <c r="A760" s="9"/>
      <c r="B760" s="9"/>
      <c r="C760" s="9"/>
    </row>
    <row r="761" hidden="1">
      <c r="A761" s="9"/>
      <c r="B761" s="9"/>
      <c r="C761" s="9"/>
    </row>
    <row r="762" hidden="1">
      <c r="A762" s="9"/>
      <c r="B762" s="9"/>
      <c r="C762" s="9"/>
    </row>
    <row r="763" hidden="1">
      <c r="A763" s="9"/>
      <c r="B763" s="9"/>
      <c r="C763" s="9"/>
    </row>
    <row r="764" hidden="1">
      <c r="A764" s="9"/>
      <c r="B764" s="9"/>
      <c r="C764" s="9"/>
    </row>
    <row r="765" hidden="1">
      <c r="A765" s="9"/>
      <c r="B765" s="9"/>
      <c r="C765" s="9"/>
    </row>
    <row r="766" hidden="1">
      <c r="A766" s="9"/>
      <c r="B766" s="9"/>
      <c r="C766" s="9"/>
    </row>
    <row r="767" hidden="1">
      <c r="A767" s="9"/>
      <c r="B767" s="9"/>
      <c r="C767" s="9"/>
    </row>
    <row r="768" hidden="1">
      <c r="A768" s="9"/>
      <c r="B768" s="9"/>
      <c r="C768" s="9"/>
    </row>
    <row r="769" hidden="1">
      <c r="A769" s="9"/>
      <c r="B769" s="9"/>
      <c r="C769" s="9"/>
    </row>
    <row r="770" hidden="1">
      <c r="A770" s="9"/>
      <c r="B770" s="9"/>
      <c r="C770" s="9"/>
    </row>
    <row r="771" hidden="1">
      <c r="A771" s="9"/>
      <c r="B771" s="9"/>
      <c r="C771" s="9"/>
    </row>
    <row r="772" hidden="1">
      <c r="A772" s="9"/>
      <c r="B772" s="9"/>
      <c r="C772" s="9"/>
    </row>
    <row r="773" hidden="1">
      <c r="A773" s="9"/>
      <c r="B773" s="9"/>
      <c r="C773" s="9"/>
    </row>
    <row r="774" hidden="1">
      <c r="A774" s="9"/>
      <c r="B774" s="9"/>
      <c r="C774" s="9"/>
    </row>
    <row r="775" hidden="1">
      <c r="A775" s="9"/>
      <c r="B775" s="9"/>
      <c r="C775" s="9"/>
    </row>
    <row r="776" hidden="1">
      <c r="A776" s="9"/>
      <c r="B776" s="9"/>
      <c r="C776" s="9"/>
    </row>
    <row r="777" hidden="1">
      <c r="A777" s="9"/>
      <c r="B777" s="9"/>
      <c r="C777" s="9"/>
    </row>
    <row r="778" hidden="1">
      <c r="A778" s="9"/>
      <c r="B778" s="9"/>
      <c r="C778" s="9"/>
    </row>
    <row r="779" hidden="1">
      <c r="A779" s="9"/>
      <c r="B779" s="9"/>
      <c r="C779" s="9"/>
    </row>
    <row r="780" hidden="1">
      <c r="A780" s="9"/>
      <c r="B780" s="9"/>
      <c r="C780" s="9"/>
    </row>
    <row r="781" hidden="1">
      <c r="A781" s="9"/>
      <c r="B781" s="9"/>
      <c r="C781" s="9"/>
    </row>
    <row r="782" hidden="1">
      <c r="A782" s="9"/>
      <c r="B782" s="9"/>
      <c r="C782" s="9"/>
    </row>
    <row r="783" hidden="1">
      <c r="A783" s="9"/>
      <c r="B783" s="9"/>
      <c r="C783" s="9"/>
    </row>
    <row r="784" hidden="1">
      <c r="A784" s="9"/>
      <c r="B784" s="9"/>
      <c r="C784" s="9"/>
    </row>
    <row r="785" hidden="1">
      <c r="A785" s="9"/>
      <c r="B785" s="9"/>
      <c r="C785" s="9"/>
    </row>
    <row r="786" hidden="1">
      <c r="A786" s="9"/>
      <c r="B786" s="9"/>
      <c r="C786" s="9"/>
    </row>
    <row r="787" hidden="1">
      <c r="A787" s="9"/>
      <c r="B787" s="9"/>
      <c r="C787" s="9"/>
    </row>
    <row r="788" hidden="1">
      <c r="A788" s="9"/>
      <c r="B788" s="9"/>
      <c r="C788" s="9"/>
    </row>
    <row r="789" hidden="1">
      <c r="A789" s="9"/>
      <c r="B789" s="9"/>
      <c r="C789" s="9"/>
    </row>
    <row r="790" hidden="1">
      <c r="A790" s="9"/>
      <c r="B790" s="9"/>
      <c r="C790" s="9"/>
    </row>
    <row r="791" hidden="1">
      <c r="A791" s="9"/>
      <c r="B791" s="9"/>
      <c r="C791" s="9"/>
    </row>
    <row r="792" hidden="1">
      <c r="A792" s="9"/>
      <c r="B792" s="9"/>
      <c r="C792" s="9"/>
    </row>
    <row r="793" hidden="1">
      <c r="A793" s="9"/>
      <c r="B793" s="9"/>
      <c r="C793" s="9"/>
    </row>
    <row r="794" hidden="1">
      <c r="A794" s="9"/>
      <c r="B794" s="9"/>
      <c r="C794" s="9"/>
    </row>
    <row r="795" hidden="1">
      <c r="A795" s="9"/>
      <c r="B795" s="9"/>
      <c r="C795" s="9"/>
    </row>
    <row r="796" hidden="1">
      <c r="A796" s="9"/>
      <c r="B796" s="9"/>
      <c r="C796" s="9"/>
    </row>
    <row r="797" hidden="1">
      <c r="A797" s="9"/>
      <c r="B797" s="9"/>
      <c r="C797" s="9"/>
    </row>
    <row r="798" hidden="1">
      <c r="A798" s="9"/>
      <c r="B798" s="9"/>
      <c r="C798" s="9"/>
    </row>
    <row r="799" hidden="1">
      <c r="A799" s="9"/>
      <c r="B799" s="9"/>
      <c r="C799" s="9"/>
    </row>
    <row r="800" hidden="1">
      <c r="A800" s="9"/>
      <c r="B800" s="9"/>
      <c r="C800" s="9"/>
    </row>
    <row r="801" hidden="1">
      <c r="A801" s="9"/>
      <c r="B801" s="9"/>
      <c r="C801" s="9"/>
    </row>
    <row r="802" hidden="1">
      <c r="A802" s="9"/>
      <c r="B802" s="9"/>
      <c r="C802" s="9"/>
    </row>
    <row r="803" hidden="1">
      <c r="A803" s="9"/>
      <c r="B803" s="9"/>
      <c r="C803" s="9"/>
    </row>
    <row r="804" hidden="1">
      <c r="A804" s="9"/>
      <c r="B804" s="9"/>
      <c r="C804" s="9"/>
    </row>
    <row r="805" hidden="1">
      <c r="A805" s="9"/>
      <c r="B805" s="9"/>
      <c r="C805" s="9"/>
    </row>
    <row r="806" hidden="1">
      <c r="A806" s="9"/>
      <c r="B806" s="9"/>
      <c r="C806" s="9"/>
    </row>
    <row r="807" hidden="1">
      <c r="A807" s="9"/>
      <c r="B807" s="9"/>
      <c r="C807" s="9"/>
    </row>
    <row r="808" hidden="1">
      <c r="A808" s="9"/>
      <c r="B808" s="9"/>
      <c r="C808" s="9"/>
    </row>
    <row r="809" hidden="1">
      <c r="A809" s="9"/>
      <c r="B809" s="9"/>
      <c r="C809" s="9"/>
    </row>
    <row r="810" hidden="1">
      <c r="A810" s="9"/>
      <c r="B810" s="9"/>
      <c r="C810" s="9"/>
    </row>
    <row r="811" hidden="1">
      <c r="A811" s="9"/>
      <c r="B811" s="9"/>
      <c r="C811" s="9"/>
    </row>
    <row r="812" hidden="1">
      <c r="A812" s="9"/>
      <c r="B812" s="9"/>
      <c r="C812" s="9"/>
    </row>
    <row r="813" hidden="1">
      <c r="A813" s="9"/>
      <c r="B813" s="9"/>
      <c r="C813" s="9"/>
    </row>
    <row r="814" hidden="1">
      <c r="A814" s="9"/>
      <c r="B814" s="9"/>
      <c r="C814" s="9"/>
    </row>
    <row r="815" hidden="1">
      <c r="A815" s="9"/>
      <c r="B815" s="9"/>
      <c r="C815" s="9"/>
    </row>
    <row r="816" hidden="1">
      <c r="A816" s="9"/>
      <c r="B816" s="9"/>
      <c r="C816" s="9"/>
    </row>
    <row r="817" hidden="1">
      <c r="A817" s="9"/>
      <c r="B817" s="9"/>
      <c r="C817" s="9"/>
    </row>
    <row r="818" hidden="1">
      <c r="A818" s="9"/>
      <c r="B818" s="9"/>
      <c r="C818" s="9"/>
    </row>
    <row r="819" hidden="1">
      <c r="A819" s="9"/>
      <c r="B819" s="9"/>
      <c r="C819" s="9"/>
    </row>
    <row r="820" hidden="1">
      <c r="A820" s="9"/>
      <c r="B820" s="9"/>
      <c r="C820" s="9"/>
    </row>
    <row r="821" hidden="1">
      <c r="A821" s="9"/>
      <c r="B821" s="9"/>
      <c r="C821" s="9"/>
    </row>
    <row r="822" hidden="1">
      <c r="A822" s="9"/>
      <c r="B822" s="9"/>
      <c r="C822" s="9"/>
    </row>
    <row r="823" hidden="1">
      <c r="A823" s="9"/>
      <c r="B823" s="9"/>
      <c r="C823" s="9"/>
    </row>
    <row r="824" hidden="1">
      <c r="A824" s="9"/>
      <c r="B824" s="9"/>
      <c r="C824" s="9"/>
    </row>
    <row r="825" hidden="1">
      <c r="A825" s="9"/>
      <c r="B825" s="9"/>
      <c r="C825" s="9"/>
    </row>
    <row r="826" hidden="1">
      <c r="A826" s="9"/>
      <c r="B826" s="9"/>
      <c r="C826" s="9"/>
    </row>
    <row r="827" hidden="1">
      <c r="A827" s="9"/>
      <c r="B827" s="9"/>
      <c r="C827" s="9"/>
    </row>
    <row r="828" hidden="1">
      <c r="A828" s="9"/>
      <c r="B828" s="9"/>
      <c r="C828" s="9"/>
    </row>
    <row r="829" hidden="1">
      <c r="A829" s="9"/>
      <c r="B829" s="9"/>
      <c r="C829" s="9"/>
    </row>
    <row r="830" hidden="1">
      <c r="A830" s="9"/>
      <c r="B830" s="9"/>
      <c r="C830" s="9"/>
    </row>
    <row r="831" hidden="1">
      <c r="A831" s="9"/>
      <c r="B831" s="9"/>
      <c r="C831" s="9"/>
    </row>
    <row r="832" hidden="1">
      <c r="A832" s="9"/>
      <c r="B832" s="9"/>
      <c r="C832" s="9"/>
    </row>
    <row r="833" hidden="1">
      <c r="A833" s="9"/>
      <c r="B833" s="9"/>
      <c r="C833" s="9"/>
    </row>
    <row r="834" hidden="1">
      <c r="A834" s="9"/>
      <c r="B834" s="9"/>
      <c r="C834" s="9"/>
    </row>
    <row r="835" hidden="1">
      <c r="A835" s="9"/>
      <c r="B835" s="9"/>
      <c r="C835" s="9"/>
    </row>
    <row r="836" hidden="1">
      <c r="A836" s="9"/>
      <c r="B836" s="9"/>
      <c r="C836" s="9"/>
    </row>
    <row r="837" hidden="1">
      <c r="A837" s="9"/>
      <c r="B837" s="9"/>
      <c r="C837" s="9"/>
    </row>
    <row r="838" hidden="1">
      <c r="A838" s="9"/>
      <c r="B838" s="9"/>
      <c r="C838" s="9"/>
    </row>
    <row r="839" hidden="1">
      <c r="A839" s="9"/>
      <c r="B839" s="9"/>
      <c r="C839" s="9"/>
    </row>
    <row r="840" hidden="1">
      <c r="A840" s="9"/>
      <c r="B840" s="9"/>
      <c r="C840" s="9"/>
    </row>
    <row r="841" hidden="1">
      <c r="A841" s="9"/>
      <c r="B841" s="9"/>
      <c r="C841" s="9"/>
    </row>
    <row r="842" hidden="1">
      <c r="A842" s="9"/>
      <c r="B842" s="9"/>
      <c r="C842" s="9"/>
    </row>
    <row r="843" hidden="1">
      <c r="A843" s="9"/>
      <c r="B843" s="9"/>
      <c r="C843" s="9"/>
    </row>
    <row r="844" hidden="1">
      <c r="A844" s="9"/>
      <c r="B844" s="9"/>
      <c r="C844" s="9"/>
    </row>
    <row r="845" hidden="1">
      <c r="A845" s="9"/>
      <c r="B845" s="9"/>
      <c r="C845" s="9"/>
    </row>
    <row r="846" hidden="1">
      <c r="A846" s="9"/>
      <c r="B846" s="9"/>
      <c r="C846" s="9"/>
    </row>
    <row r="847" hidden="1">
      <c r="A847" s="9"/>
      <c r="B847" s="9"/>
      <c r="C847" s="9"/>
    </row>
    <row r="848" hidden="1">
      <c r="A848" s="9"/>
      <c r="B848" s="9"/>
      <c r="C848" s="9"/>
    </row>
    <row r="849" hidden="1">
      <c r="A849" s="9"/>
      <c r="B849" s="9"/>
      <c r="C849" s="9"/>
    </row>
    <row r="850" hidden="1">
      <c r="A850" s="9"/>
      <c r="B850" s="9"/>
      <c r="C850" s="9"/>
    </row>
    <row r="851" hidden="1">
      <c r="A851" s="9"/>
      <c r="B851" s="9"/>
      <c r="C851" s="9"/>
    </row>
    <row r="852" hidden="1">
      <c r="A852" s="9"/>
      <c r="B852" s="9"/>
      <c r="C852" s="9"/>
    </row>
    <row r="853" hidden="1">
      <c r="A853" s="9"/>
      <c r="B853" s="9"/>
      <c r="C853" s="9"/>
    </row>
    <row r="854" hidden="1">
      <c r="A854" s="9"/>
      <c r="B854" s="9"/>
      <c r="C854" s="9"/>
    </row>
    <row r="855" hidden="1">
      <c r="A855" s="9"/>
      <c r="B855" s="9"/>
      <c r="C855" s="9"/>
    </row>
    <row r="856" hidden="1">
      <c r="A856" s="9"/>
      <c r="B856" s="9"/>
      <c r="C856" s="9"/>
    </row>
    <row r="857" hidden="1">
      <c r="A857" s="9"/>
      <c r="B857" s="9"/>
      <c r="C857" s="9"/>
    </row>
    <row r="858" hidden="1">
      <c r="A858" s="9"/>
      <c r="B858" s="9"/>
      <c r="C858" s="9"/>
    </row>
    <row r="859" hidden="1">
      <c r="A859" s="9"/>
      <c r="B859" s="9"/>
      <c r="C859" s="9"/>
    </row>
    <row r="860" hidden="1">
      <c r="A860" s="9"/>
      <c r="B860" s="9"/>
      <c r="C860" s="9"/>
    </row>
    <row r="861" hidden="1">
      <c r="A861" s="9"/>
      <c r="B861" s="9"/>
      <c r="C861" s="9"/>
    </row>
    <row r="862" hidden="1">
      <c r="A862" s="9"/>
      <c r="B862" s="9"/>
      <c r="C862" s="9"/>
    </row>
    <row r="863" hidden="1">
      <c r="A863" s="9"/>
      <c r="B863" s="9"/>
      <c r="C863" s="9"/>
    </row>
    <row r="864" hidden="1">
      <c r="A864" s="9"/>
      <c r="B864" s="9"/>
      <c r="C864" s="9"/>
    </row>
    <row r="865" hidden="1">
      <c r="A865" s="9"/>
      <c r="B865" s="9"/>
      <c r="C865" s="9"/>
    </row>
    <row r="866" hidden="1">
      <c r="A866" s="9"/>
      <c r="B866" s="9"/>
      <c r="C866" s="9"/>
    </row>
    <row r="867" hidden="1">
      <c r="A867" s="9"/>
      <c r="B867" s="9"/>
      <c r="C867" s="9"/>
    </row>
    <row r="868" hidden="1">
      <c r="A868" s="9"/>
      <c r="B868" s="9"/>
      <c r="C868" s="9"/>
    </row>
    <row r="869" hidden="1">
      <c r="A869" s="9"/>
      <c r="B869" s="9"/>
      <c r="C869" s="9"/>
    </row>
    <row r="870" hidden="1">
      <c r="A870" s="9"/>
      <c r="B870" s="9"/>
      <c r="C870" s="9"/>
    </row>
    <row r="871" hidden="1">
      <c r="A871" s="9"/>
      <c r="B871" s="9"/>
      <c r="C871" s="9"/>
    </row>
    <row r="872" hidden="1">
      <c r="A872" s="9"/>
      <c r="B872" s="9"/>
      <c r="C872" s="9"/>
    </row>
    <row r="873" hidden="1">
      <c r="A873" s="9"/>
      <c r="B873" s="9"/>
      <c r="C873" s="9"/>
    </row>
    <row r="874" hidden="1">
      <c r="A874" s="9"/>
      <c r="B874" s="9"/>
      <c r="C874" s="9"/>
    </row>
    <row r="875" hidden="1">
      <c r="A875" s="9"/>
      <c r="B875" s="9"/>
      <c r="C875" s="9"/>
    </row>
    <row r="876" hidden="1">
      <c r="A876" s="9"/>
      <c r="B876" s="9"/>
      <c r="C876" s="9"/>
    </row>
    <row r="877" hidden="1">
      <c r="A877" s="9"/>
      <c r="B877" s="9"/>
      <c r="C877" s="9"/>
    </row>
    <row r="878" hidden="1">
      <c r="A878" s="9"/>
      <c r="B878" s="9"/>
      <c r="C878" s="9"/>
    </row>
    <row r="879" hidden="1">
      <c r="A879" s="9"/>
      <c r="B879" s="9"/>
      <c r="C879" s="9"/>
    </row>
    <row r="880" hidden="1">
      <c r="A880" s="9"/>
      <c r="B880" s="9"/>
      <c r="C880" s="9"/>
    </row>
    <row r="881" hidden="1">
      <c r="A881" s="9"/>
      <c r="B881" s="9"/>
      <c r="C881" s="9"/>
    </row>
    <row r="882" hidden="1">
      <c r="A882" s="9"/>
      <c r="B882" s="9"/>
      <c r="C882" s="9"/>
    </row>
    <row r="883" hidden="1">
      <c r="A883" s="9"/>
      <c r="B883" s="9"/>
      <c r="C883" s="9"/>
    </row>
    <row r="884" hidden="1">
      <c r="A884" s="9"/>
      <c r="B884" s="9"/>
      <c r="C884" s="9"/>
    </row>
    <row r="885" hidden="1">
      <c r="A885" s="9"/>
      <c r="B885" s="9"/>
      <c r="C885" s="9"/>
    </row>
    <row r="886" hidden="1">
      <c r="A886" s="9"/>
      <c r="B886" s="9"/>
      <c r="C886" s="9"/>
    </row>
    <row r="887" hidden="1">
      <c r="A887" s="9"/>
      <c r="B887" s="9"/>
      <c r="C887" s="9"/>
    </row>
    <row r="888" hidden="1">
      <c r="A888" s="9"/>
      <c r="B888" s="9"/>
      <c r="C888" s="9"/>
    </row>
    <row r="889" hidden="1">
      <c r="A889" s="9"/>
      <c r="B889" s="9"/>
      <c r="C889" s="9"/>
    </row>
    <row r="890" hidden="1">
      <c r="A890" s="9"/>
      <c r="B890" s="9"/>
      <c r="C890" s="9"/>
    </row>
    <row r="891" hidden="1">
      <c r="A891" s="9"/>
      <c r="B891" s="9"/>
      <c r="C891" s="9"/>
    </row>
    <row r="892" hidden="1">
      <c r="A892" s="9"/>
      <c r="B892" s="9"/>
      <c r="C892" s="9"/>
    </row>
    <row r="893" hidden="1">
      <c r="A893" s="9"/>
      <c r="B893" s="9"/>
      <c r="C893" s="9"/>
    </row>
    <row r="894" hidden="1">
      <c r="A894" s="9"/>
      <c r="B894" s="9"/>
      <c r="C894" s="9"/>
    </row>
    <row r="895" hidden="1">
      <c r="A895" s="9"/>
      <c r="B895" s="9"/>
      <c r="C895" s="9"/>
    </row>
    <row r="896" hidden="1">
      <c r="A896" s="9"/>
      <c r="B896" s="9"/>
      <c r="C896" s="9"/>
    </row>
    <row r="897" hidden="1">
      <c r="A897" s="9"/>
      <c r="B897" s="9"/>
      <c r="C897" s="9"/>
    </row>
    <row r="898" hidden="1">
      <c r="A898" s="9"/>
      <c r="B898" s="9"/>
      <c r="C898" s="9"/>
    </row>
    <row r="899" hidden="1">
      <c r="A899" s="9"/>
      <c r="B899" s="9"/>
      <c r="C899" s="9"/>
    </row>
    <row r="900" hidden="1">
      <c r="A900" s="9"/>
      <c r="B900" s="9"/>
      <c r="C900" s="9"/>
    </row>
    <row r="901" hidden="1">
      <c r="A901" s="9"/>
      <c r="B901" s="9"/>
      <c r="C901" s="9"/>
    </row>
    <row r="902" hidden="1">
      <c r="A902" s="9"/>
      <c r="B902" s="9"/>
      <c r="C902" s="9"/>
    </row>
    <row r="903" hidden="1">
      <c r="A903" s="9"/>
      <c r="B903" s="9"/>
      <c r="C903" s="9"/>
    </row>
    <row r="904" hidden="1">
      <c r="A904" s="9"/>
      <c r="B904" s="9"/>
      <c r="C904" s="9"/>
    </row>
    <row r="905" hidden="1">
      <c r="A905" s="9"/>
      <c r="B905" s="9"/>
      <c r="C905" s="9"/>
    </row>
    <row r="906" hidden="1">
      <c r="A906" s="9"/>
      <c r="B906" s="9"/>
      <c r="C906" s="9"/>
    </row>
    <row r="907" hidden="1">
      <c r="A907" s="9"/>
      <c r="B907" s="9"/>
      <c r="C907" s="9"/>
    </row>
    <row r="908" hidden="1">
      <c r="A908" s="9"/>
      <c r="B908" s="9"/>
      <c r="C908" s="9"/>
    </row>
    <row r="909" hidden="1">
      <c r="A909" s="9"/>
      <c r="B909" s="9"/>
      <c r="C909" s="9"/>
    </row>
    <row r="910" hidden="1">
      <c r="A910" s="9"/>
      <c r="B910" s="9"/>
      <c r="C910" s="9"/>
    </row>
    <row r="911" hidden="1">
      <c r="A911" s="9"/>
      <c r="B911" s="9"/>
      <c r="C911" s="9"/>
    </row>
    <row r="912" hidden="1">
      <c r="A912" s="9"/>
      <c r="B912" s="9"/>
      <c r="C912" s="9"/>
    </row>
    <row r="913" hidden="1">
      <c r="A913" s="9"/>
      <c r="B913" s="9"/>
      <c r="C913" s="9"/>
    </row>
    <row r="914" hidden="1">
      <c r="A914" s="9"/>
      <c r="B914" s="9"/>
      <c r="C914" s="9"/>
    </row>
    <row r="915" hidden="1">
      <c r="A915" s="9"/>
      <c r="B915" s="9"/>
      <c r="C915" s="9"/>
    </row>
    <row r="916" hidden="1">
      <c r="A916" s="9"/>
      <c r="B916" s="9"/>
      <c r="C916" s="9"/>
    </row>
    <row r="917" hidden="1">
      <c r="A917" s="9"/>
      <c r="B917" s="9"/>
      <c r="C917" s="9"/>
    </row>
    <row r="918" hidden="1">
      <c r="A918" s="9"/>
      <c r="B918" s="9"/>
      <c r="C918" s="9"/>
    </row>
    <row r="919" hidden="1">
      <c r="A919" s="9"/>
      <c r="B919" s="9"/>
      <c r="C919" s="9"/>
    </row>
    <row r="920" hidden="1">
      <c r="A920" s="9"/>
      <c r="B920" s="9"/>
      <c r="C920" s="9"/>
    </row>
    <row r="921" hidden="1">
      <c r="A921" s="9"/>
      <c r="B921" s="9"/>
      <c r="C921" s="9"/>
    </row>
    <row r="922" hidden="1">
      <c r="A922" s="9"/>
      <c r="B922" s="9"/>
      <c r="C922" s="9"/>
    </row>
    <row r="923" hidden="1">
      <c r="A923" s="9"/>
      <c r="B923" s="9"/>
      <c r="C923" s="9"/>
    </row>
    <row r="924" hidden="1">
      <c r="A924" s="9"/>
      <c r="B924" s="9"/>
      <c r="C924" s="9"/>
    </row>
    <row r="925" hidden="1">
      <c r="A925" s="9"/>
      <c r="B925" s="9"/>
      <c r="C925" s="9"/>
    </row>
    <row r="926" hidden="1">
      <c r="A926" s="9"/>
      <c r="B926" s="9"/>
      <c r="C926" s="9"/>
    </row>
    <row r="927" hidden="1">
      <c r="A927" s="9"/>
      <c r="B927" s="9"/>
      <c r="C927" s="9"/>
    </row>
    <row r="928" hidden="1">
      <c r="A928" s="9"/>
      <c r="B928" s="9"/>
      <c r="C928" s="9"/>
    </row>
    <row r="929" hidden="1">
      <c r="A929" s="9"/>
      <c r="B929" s="9"/>
      <c r="C929" s="9"/>
    </row>
    <row r="930" hidden="1">
      <c r="A930" s="9"/>
      <c r="B930" s="9"/>
      <c r="C930" s="9"/>
    </row>
    <row r="931" hidden="1">
      <c r="A931" s="9"/>
      <c r="B931" s="9"/>
      <c r="C931" s="9"/>
    </row>
    <row r="932" hidden="1">
      <c r="A932" s="9"/>
      <c r="B932" s="9"/>
      <c r="C932" s="9"/>
    </row>
    <row r="933" hidden="1">
      <c r="A933" s="9"/>
      <c r="B933" s="9"/>
      <c r="C933" s="9"/>
    </row>
    <row r="934" hidden="1">
      <c r="A934" s="9"/>
      <c r="B934" s="9"/>
      <c r="C934" s="9"/>
    </row>
    <row r="935" hidden="1">
      <c r="A935" s="9"/>
      <c r="B935" s="9"/>
      <c r="C935" s="9"/>
    </row>
    <row r="936" hidden="1">
      <c r="A936" s="9"/>
      <c r="B936" s="9"/>
      <c r="C936" s="9"/>
    </row>
    <row r="937" hidden="1">
      <c r="A937" s="9"/>
      <c r="B937" s="9"/>
      <c r="C937" s="9"/>
    </row>
    <row r="938" hidden="1">
      <c r="A938" s="9"/>
      <c r="B938" s="9"/>
      <c r="C938" s="9"/>
    </row>
    <row r="939" hidden="1">
      <c r="A939" s="9"/>
      <c r="B939" s="9"/>
      <c r="C939" s="9"/>
    </row>
    <row r="940" hidden="1">
      <c r="A940" s="9"/>
      <c r="B940" s="9"/>
      <c r="C940" s="9"/>
    </row>
    <row r="941" hidden="1">
      <c r="A941" s="9"/>
      <c r="B941" s="9"/>
      <c r="C941" s="9"/>
    </row>
    <row r="942" hidden="1">
      <c r="A942" s="9"/>
      <c r="B942" s="9"/>
      <c r="C942" s="9"/>
    </row>
    <row r="943" hidden="1">
      <c r="A943" s="9"/>
      <c r="B943" s="9"/>
      <c r="C943" s="9"/>
    </row>
    <row r="944" hidden="1">
      <c r="A944" s="9"/>
      <c r="B944" s="9"/>
      <c r="C944" s="9"/>
    </row>
    <row r="945" hidden="1">
      <c r="A945" s="9"/>
      <c r="B945" s="9"/>
      <c r="C945" s="9"/>
    </row>
    <row r="946" hidden="1">
      <c r="A946" s="9"/>
      <c r="B946" s="9"/>
      <c r="C946" s="9"/>
    </row>
    <row r="947" hidden="1">
      <c r="A947" s="9"/>
      <c r="B947" s="9"/>
      <c r="C947" s="9"/>
    </row>
    <row r="948" hidden="1">
      <c r="A948" s="9"/>
      <c r="B948" s="9"/>
      <c r="C948" s="9"/>
    </row>
    <row r="949" hidden="1">
      <c r="A949" s="9"/>
      <c r="B949" s="9"/>
      <c r="C949" s="9"/>
    </row>
    <row r="950" hidden="1">
      <c r="A950" s="9"/>
      <c r="B950" s="9"/>
      <c r="C950" s="9"/>
    </row>
    <row r="951" hidden="1">
      <c r="A951" s="9"/>
      <c r="B951" s="9"/>
      <c r="C951" s="9"/>
    </row>
    <row r="952" hidden="1">
      <c r="A952" s="9"/>
      <c r="B952" s="9"/>
      <c r="C952" s="9"/>
    </row>
    <row r="953" hidden="1">
      <c r="A953" s="9"/>
      <c r="B953" s="9"/>
      <c r="C953" s="9"/>
    </row>
    <row r="954" hidden="1">
      <c r="A954" s="9"/>
      <c r="B954" s="9"/>
      <c r="C954" s="9"/>
    </row>
    <row r="955" hidden="1">
      <c r="A955" s="9"/>
      <c r="B955" s="9"/>
      <c r="C955" s="9"/>
    </row>
    <row r="956" hidden="1">
      <c r="A956" s="9"/>
      <c r="B956" s="9"/>
      <c r="C956" s="9"/>
    </row>
    <row r="957" hidden="1">
      <c r="A957" s="9"/>
      <c r="B957" s="9"/>
      <c r="C957" s="9"/>
    </row>
    <row r="958" hidden="1">
      <c r="A958" s="9"/>
      <c r="B958" s="9"/>
      <c r="C958" s="9"/>
    </row>
    <row r="959" hidden="1">
      <c r="A959" s="9"/>
      <c r="B959" s="9"/>
      <c r="C959" s="9"/>
    </row>
    <row r="960" hidden="1">
      <c r="A960" s="9"/>
      <c r="B960" s="9"/>
      <c r="C960" s="9"/>
    </row>
    <row r="961" hidden="1">
      <c r="A961" s="9"/>
      <c r="B961" s="9"/>
      <c r="C961" s="9"/>
    </row>
    <row r="962" hidden="1">
      <c r="A962" s="9"/>
      <c r="B962" s="9"/>
      <c r="C962" s="9"/>
    </row>
    <row r="963" hidden="1">
      <c r="A963" s="9"/>
      <c r="B963" s="9"/>
      <c r="C963" s="9"/>
    </row>
    <row r="964" hidden="1">
      <c r="A964" s="9"/>
      <c r="B964" s="9"/>
      <c r="C964" s="9"/>
    </row>
    <row r="965" hidden="1">
      <c r="A965" s="9"/>
      <c r="B965" s="9"/>
      <c r="C965" s="9"/>
    </row>
    <row r="966" hidden="1">
      <c r="A966" s="9"/>
      <c r="B966" s="9"/>
      <c r="C966" s="9"/>
    </row>
    <row r="967" hidden="1">
      <c r="A967" s="9"/>
      <c r="B967" s="9"/>
      <c r="C967" s="9"/>
    </row>
    <row r="968" hidden="1">
      <c r="A968" s="9"/>
      <c r="B968" s="9"/>
      <c r="C968" s="9"/>
    </row>
    <row r="969" hidden="1">
      <c r="A969" s="9"/>
      <c r="B969" s="9"/>
      <c r="C969" s="9"/>
    </row>
    <row r="970" hidden="1">
      <c r="A970" s="9"/>
      <c r="B970" s="9"/>
      <c r="C970" s="9"/>
    </row>
    <row r="971" hidden="1">
      <c r="A971" s="9"/>
      <c r="B971" s="9"/>
      <c r="C971" s="9"/>
    </row>
    <row r="972" hidden="1">
      <c r="A972" s="9"/>
      <c r="B972" s="9"/>
      <c r="C972" s="9"/>
    </row>
    <row r="973" hidden="1">
      <c r="A973" s="9"/>
      <c r="B973" s="9"/>
      <c r="C973" s="9"/>
    </row>
    <row r="974" hidden="1">
      <c r="A974" s="9"/>
      <c r="B974" s="9"/>
      <c r="C974" s="9"/>
    </row>
    <row r="975" hidden="1">
      <c r="A975" s="9"/>
      <c r="B975" s="9"/>
      <c r="C975" s="9"/>
    </row>
    <row r="976" hidden="1">
      <c r="A976" s="9"/>
      <c r="B976" s="9"/>
      <c r="C976" s="9"/>
    </row>
    <row r="977" hidden="1">
      <c r="A977" s="9"/>
      <c r="B977" s="9"/>
      <c r="C977" s="9"/>
    </row>
    <row r="978" hidden="1">
      <c r="A978" s="9"/>
      <c r="B978" s="9"/>
      <c r="C978" s="9"/>
    </row>
    <row r="979" hidden="1">
      <c r="A979" s="9"/>
      <c r="B979" s="9"/>
      <c r="C979" s="9"/>
    </row>
    <row r="980" hidden="1">
      <c r="A980" s="9"/>
      <c r="B980" s="9"/>
      <c r="C980" s="9"/>
    </row>
    <row r="981" hidden="1">
      <c r="A981" s="9"/>
      <c r="B981" s="9"/>
      <c r="C981" s="9"/>
    </row>
    <row r="982" hidden="1">
      <c r="A982" s="9"/>
      <c r="B982" s="9"/>
      <c r="C982" s="9"/>
    </row>
    <row r="983" hidden="1">
      <c r="A983" s="9"/>
      <c r="B983" s="9"/>
      <c r="C983" s="9"/>
    </row>
    <row r="984" hidden="1">
      <c r="A984" s="9"/>
      <c r="B984" s="9"/>
      <c r="C984" s="9"/>
    </row>
    <row r="985" hidden="1">
      <c r="A985" s="9"/>
      <c r="B985" s="9"/>
      <c r="C985" s="9"/>
    </row>
    <row r="986" hidden="1">
      <c r="A986" s="9"/>
      <c r="B986" s="9"/>
      <c r="C986" s="9"/>
    </row>
    <row r="987" hidden="1">
      <c r="A987" s="9"/>
      <c r="B987" s="9"/>
      <c r="C987" s="9"/>
    </row>
    <row r="988" hidden="1">
      <c r="A988" s="9"/>
      <c r="B988" s="9"/>
      <c r="C988" s="9"/>
    </row>
    <row r="989" hidden="1">
      <c r="A989" s="9"/>
      <c r="B989" s="9"/>
      <c r="C989" s="9"/>
    </row>
    <row r="990" hidden="1">
      <c r="A990" s="9"/>
      <c r="B990" s="9"/>
      <c r="C990" s="9"/>
    </row>
    <row r="991" hidden="1">
      <c r="A991" s="9"/>
      <c r="B991" s="9"/>
      <c r="C991" s="9"/>
    </row>
    <row r="992" hidden="1">
      <c r="A992" s="9"/>
      <c r="B992" s="9"/>
      <c r="C992" s="9"/>
    </row>
    <row r="993" hidden="1">
      <c r="A993" s="9"/>
      <c r="B993" s="9"/>
      <c r="C993" s="9"/>
    </row>
    <row r="994" hidden="1">
      <c r="A994" s="9"/>
      <c r="B994" s="9"/>
      <c r="C994" s="9"/>
    </row>
    <row r="995" hidden="1">
      <c r="A995" s="9"/>
      <c r="B995" s="9"/>
      <c r="C995" s="9"/>
    </row>
    <row r="996" hidden="1">
      <c r="A996" s="9"/>
      <c r="B996" s="9"/>
      <c r="C996" s="9"/>
    </row>
    <row r="997" hidden="1">
      <c r="A997" s="9"/>
      <c r="B997" s="9"/>
      <c r="C997" s="9"/>
    </row>
    <row r="998" hidden="1">
      <c r="A998" s="9"/>
      <c r="B998" s="9"/>
      <c r="C998" s="9"/>
    </row>
    <row r="999" hidden="1">
      <c r="A999" s="9"/>
      <c r="B999" s="9"/>
      <c r="C999" s="9"/>
    </row>
    <row r="1000" hidden="1">
      <c r="A1000" s="9"/>
      <c r="B1000" s="9"/>
      <c r="C1000" s="9"/>
    </row>
  </sheetData>
  <autoFilter ref="$A$1:$C$1000">
    <filterColumn colId="0">
      <filters>
        <filter val="NZL"/>
        <filter val="FJI"/>
        <filter val="PNG"/>
        <filter val="STP"/>
        <filter val="WLD"/>
        <filter val="MHL"/>
        <filter val="CUB"/>
        <filter val="SDN"/>
        <filter val="GMB"/>
        <filter val="CEB"/>
        <filter val="CUW"/>
        <filter val="MIC"/>
        <filter val="MYS"/>
        <filter val="POL"/>
        <filter val="ARB"/>
        <filter val="OMN"/>
        <filter val="SUR"/>
        <filter val="ARE"/>
        <filter val="KEN"/>
        <filter val="ARG"/>
        <filter val="GNB"/>
        <filter val="HPC"/>
        <filter val="ARM"/>
        <filter val="UZB"/>
        <filter val="BTN"/>
        <filter val="SEN"/>
        <filter val="TGO"/>
        <filter val="IRL"/>
        <filter val="IRN"/>
        <filter val="QAT"/>
        <filter val="BDI"/>
        <filter val="NLD"/>
        <filter val="IRQ"/>
        <filter val="SVK"/>
        <filter val="IBD"/>
        <filter val="SVN"/>
        <filter val="GNQ"/>
        <filter val="THA"/>
        <filter val="ABW"/>
        <filter val="IBT"/>
        <filter val="ASM"/>
        <filter val="SWE"/>
        <filter val="ISL"/>
        <filter val="LIC"/>
        <filter val="MKD"/>
        <filter val="BEL"/>
        <filter val="ISR"/>
        <filter val="KWT"/>
        <filter val="LIE"/>
        <filter val="BEN"/>
        <filter val="DZA"/>
        <filter val="RUS"/>
        <filter val="ATG"/>
        <filter val="ITA"/>
        <filter val="SWZ"/>
        <filter val="TZA"/>
        <filter val="PAK"/>
        <filter val="BFA"/>
        <filter val="PAN"/>
        <filter val="SGP"/>
        <filter val="UKR"/>
        <filter val="KGZ"/>
        <filter val="CHE"/>
        <filter val="DJI"/>
        <filter val="PRE"/>
        <filter val="CHI"/>
        <filter val="CHL"/>
        <filter val="IDB"/>
        <filter val="PRI"/>
        <filter val="IDA"/>
        <filter val="CHN"/>
        <filter val="PRK"/>
        <filter val="SXM"/>
        <filter val="MLI"/>
        <filter val="BWA"/>
        <filter val="HRV"/>
        <filter val="KHM"/>
        <filter val="IDN"/>
        <filter val="PRT"/>
        <filter val="MLT"/>
        <filter val="TJK"/>
        <filter val="VNM"/>
        <filter val="CYM"/>
        <filter val="PRY"/>
        <filter val="CYP"/>
        <filter val="IDX"/>
        <filter val="SYC"/>
        <filter val="RWA"/>
        <filter val="BGD"/>
        <filter val="AUS"/>
        <filter val="AUT"/>
        <filter val="LKA"/>
        <filter val="PSE"/>
        <filter val="GAB"/>
        <filter val="ZWE"/>
        <filter val="UMC"/>
        <filter val="BGR"/>
        <filter val="EMU"/>
        <filter val="SYR"/>
        <filter val="CZE"/>
        <filter val="NOR"/>
        <filter val="PST"/>
        <filter val="CIV"/>
        <filter val="PSS"/>
        <filter val="MMR"/>
        <filter val="KIR"/>
        <filter val="TKM"/>
        <filter val="GRD"/>
        <filter val="GRC"/>
        <filter val="HTI"/>
        <filter val="AFE"/>
        <filter val="GRL"/>
        <filter val="YEM"/>
        <filter val="MNA"/>
        <filter val="AFG"/>
        <filter val="MNE"/>
        <filter val="MNG"/>
        <filter val="TLA"/>
        <filter val="NPL"/>
        <filter val="BHS"/>
        <filter val="BHR"/>
        <filter val="MNP"/>
        <filter val="AFW"/>
        <filter val="GBR"/>
        <filter val="DMA"/>
        <filter val="TLS"/>
        <filter val="BIH"/>
        <filter val="HUN"/>
        <filter val="LMC"/>
        <filter val="AGO"/>
        <filter val="OSS"/>
        <filter val="WSM"/>
        <filter val="NAC"/>
        <filter val="FRA"/>
        <filter val="TMN"/>
        <filter val="LMY"/>
        <filter val="MOZ"/>
        <filter val="NAM"/>
        <filter val="PER"/>
        <filter val="DNK"/>
        <filter val="GTM"/>
        <filter val="FRO"/>
        <filter val="SLB"/>
        <filter val="SLE"/>
        <filter val="NRU"/>
        <filter val="SLV"/>
        <filter val="GUM"/>
        <filter val="FSM"/>
        <filter val="DOM"/>
        <filter val="CMR"/>
        <filter val="GUY"/>
        <filter val="AZE"/>
        <filter val="MAC"/>
        <filter val="OED"/>
        <filter val="GEO"/>
        <filter val="TON"/>
        <filter val="MAF"/>
        <filter val="EAP"/>
        <filter val="EAS"/>
        <filter val="NCL"/>
        <filter val="EAR"/>
        <filter val="SMR"/>
        <filter val="ERI"/>
        <filter val="KNA"/>
        <filter val="MAR"/>
        <filter val="VCT"/>
        <filter val="BLR"/>
        <filter val="MRT"/>
        <filter val="BLZ"/>
        <filter val="PHL"/>
        <filter val="COD"/>
        <filter val="COG"/>
        <filter val="PYF"/>
        <filter val="URY"/>
        <filter val="COM"/>
        <filter val="COL"/>
        <filter val="ECA"/>
        <filter val="USA"/>
        <filter val="ESP"/>
        <filter val="HIC"/>
        <filter val="EST"/>
        <filter val="BMU"/>
        <filter val="ZMB"/>
        <filter val="KOR"/>
        <filter val="LAC"/>
        <filter val="SOM"/>
        <filter val="ECS"/>
        <filter val="VUT"/>
        <filter val="ECU"/>
        <filter val="ALB"/>
        <filter val="ETH"/>
        <filter val="MCO"/>
        <filter val="NER"/>
        <filter val="LAO"/>
        <filter val="VEN"/>
        <filter val="GHA"/>
        <filter val="CPV"/>
        <filter val="MDA"/>
        <filter val="MDG"/>
        <filter val="LBN"/>
        <filter val="LBR"/>
        <filter val="BOL"/>
        <filter val="MDV"/>
        <filter val="GIB"/>
        <filter val="LBY"/>
        <filter val="TSA"/>
        <filter val="EUU"/>
        <filter val="HKG"/>
        <filter val="MEA"/>
        <filter val="CAF"/>
        <filter val="LSO"/>
        <filter val="NGA"/>
        <filter val="MUS"/>
        <filter val="IMN"/>
        <filter val="LCA"/>
        <filter val="JOR"/>
        <filter val="GIN"/>
        <filter val="VGB"/>
        <filter val="CAN"/>
        <filter val="TCA"/>
        <filter val="TCD"/>
        <filter val="TSS"/>
        <filter val="LCN"/>
        <filter val="AND"/>
        <filter val="ROU"/>
        <filter val="CRI"/>
        <filter val="LTE"/>
        <filter val="IND"/>
        <filter val="MEX"/>
        <filter val="SRB"/>
        <filter val="SAS"/>
        <filter val="XKX"/>
        <filter val="KAZ"/>
        <filter val="SAU"/>
        <filter val="JPN"/>
        <filter val="LDC"/>
        <filter val="LTU"/>
        <filter val="TTO"/>
        <filter val="PLW"/>
        <filter val="MWI"/>
        <filter val="SSA"/>
        <filter val="CSS"/>
        <filter val="SSD"/>
        <filter val="SSF"/>
        <filter val="NIC"/>
        <filter val="FIN"/>
        <filter val="TUN"/>
        <filter val="LUX"/>
        <filter val="UGA"/>
        <filter val="BRA"/>
        <filter val="TUR"/>
        <filter val="TEA"/>
        <filter val="BRB"/>
        <filter val="TEC"/>
        <filter val="TUV"/>
        <filter val="DEU"/>
        <filter val="SST"/>
        <filter val="EGY"/>
        <filter val="LVA"/>
        <filter val="JAM"/>
        <filter val="VIR"/>
        <filter val="ZAF"/>
        <filter val="BRN"/>
        <filter val="HND"/>
      </filters>
    </filterColumn>
    <filterColumn colId="1">
      <filters>
        <filter val="Latin America &amp; Caribbean"/>
        <filter val="Middle East &amp; North Africa"/>
        <filter val="East Asia &amp; Pacific"/>
        <filter val="North America"/>
        <filter val="Sub-Saharan Africa"/>
        <filter val="Europe &amp; Central Asia"/>
        <filter val="South Asia"/>
      </filters>
    </filterColumn>
  </autoFilter>
  <drawing r:id="rId1"/>
</worksheet>
</file>